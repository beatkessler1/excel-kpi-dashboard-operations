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defaultThemeVersion="166925"/>
  <mc:AlternateContent xmlns:mc="http://schemas.openxmlformats.org/markup-compatibility/2006">
    <mc:Choice Requires="x15">
      <x15ac:absPath xmlns:x15ac="http://schemas.microsoft.com/office/spreadsheetml/2010/11/ac" url="/Users/beatkessler/Desktop/"/>
    </mc:Choice>
  </mc:AlternateContent>
  <xr:revisionPtr revIDLastSave="0" documentId="8_{8F9A2776-7C5C-4D4F-A478-20F67E49BB8A}" xr6:coauthVersionLast="43" xr6:coauthVersionMax="43" xr10:uidLastSave="{00000000-0000-0000-0000-000000000000}"/>
  <bookViews>
    <workbookView xWindow="0" yWindow="840" windowWidth="15760" windowHeight="17680" activeTab="1" xr2:uid="{CD0FC41E-4571-3E42-9913-10D2A9E55059}"/>
  </bookViews>
  <sheets>
    <sheet name="Dashboard" sheetId="1" r:id="rId1"/>
    <sheet name="Daten" sheetId="3" r:id="rId2"/>
    <sheet name="F" sheetId="2" r:id="rId3"/>
    <sheet name="P" sheetId="8" r:id="rId4"/>
    <sheet name="M" sheetId="11" r:id="rId5"/>
    <sheet name="K" sheetId="10" r:id="rId6"/>
    <sheet name="INDEX_VERGLEICH_INDIREKT" sheetId="14" r:id="rId7"/>
    <sheet name="MEP_Funktionen" sheetId="12" r:id="rId8"/>
  </sheets>
  <definedNames>
    <definedName name="_xlchart.v5.0" hidden="1">F!$H$1</definedName>
    <definedName name="_xlchart.v5.1" hidden="1">F!$H$2:$H$11</definedName>
    <definedName name="_xlchart.v5.2" hidden="1">F!$I$1</definedName>
    <definedName name="_xlchart.v5.3" hidden="1">F!$I$2:$I$11</definedName>
    <definedName name="_xlchart.v5.4" hidden="1">F!$H$1</definedName>
    <definedName name="_xlchart.v5.5" hidden="1">F!$H$2:$H$13</definedName>
    <definedName name="_xlchart.v5.6" hidden="1">F!$I$1</definedName>
    <definedName name="_xlchart.v5.7" hidden="1">F!$I$2:$I$13</definedName>
    <definedName name="Datenschnitt_Kunde">#N/A</definedName>
    <definedName name="Datenschnitt_Kunde1">#N/A</definedName>
    <definedName name="Datenschnitt_Land">#N/A</definedName>
    <definedName name="Datenschnitt_Monate">#N/A</definedName>
    <definedName name="Datenschnitt_Monate1">#N/A</definedName>
    <definedName name="Datenschnitt_Produkt">#N/A</definedName>
  </definedNames>
  <calcPr calcId="191029"/>
  <pivotCaches>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4" i="8" l="1"/>
  <c r="H4" i="2"/>
  <c r="D29" i="14"/>
  <c r="D12" i="14"/>
  <c r="F34" i="8"/>
  <c r="H5" i="2"/>
  <c r="I4" i="2"/>
  <c r="I6" i="2"/>
  <c r="G52" i="14"/>
  <c r="R3" i="14" l="1"/>
  <c r="R4" i="14"/>
  <c r="R5" i="14"/>
  <c r="R6" i="14"/>
  <c r="R7" i="14"/>
  <c r="R8" i="14"/>
  <c r="A38" i="14"/>
  <c r="I11" i="2"/>
  <c r="I8" i="2"/>
  <c r="I7" i="2"/>
  <c r="I9" i="2"/>
  <c r="I5" i="2"/>
  <c r="I12" i="2"/>
  <c r="I10" i="2"/>
  <c r="I13" i="2"/>
  <c r="D38" i="14"/>
  <c r="H6" i="2" l="1"/>
  <c r="H7" i="2"/>
  <c r="H8" i="2"/>
  <c r="H9" i="2"/>
  <c r="H10" i="2"/>
  <c r="H11" i="2"/>
  <c r="H12" i="2" l="1"/>
</calcChain>
</file>

<file path=xl/sharedStrings.xml><?xml version="1.0" encoding="utf-8"?>
<sst xmlns="http://schemas.openxmlformats.org/spreadsheetml/2006/main" count="2476" uniqueCount="138">
  <si>
    <t>Kategorie</t>
  </si>
  <si>
    <t>Datum</t>
  </si>
  <si>
    <t>Produkt</t>
  </si>
  <si>
    <t>Land</t>
  </si>
  <si>
    <t>Umsatz IST</t>
  </si>
  <si>
    <t>Umsatz Plan</t>
  </si>
  <si>
    <t>Kunde</t>
  </si>
  <si>
    <t>Liefertermintreue</t>
  </si>
  <si>
    <t>Retoure</t>
  </si>
  <si>
    <t>Kundenzufriedenheit</t>
  </si>
  <si>
    <t>Standort</t>
  </si>
  <si>
    <t>Mitarbeiter (M)</t>
  </si>
  <si>
    <t>Mitarbeiter (F)</t>
  </si>
  <si>
    <t>F/P/K</t>
  </si>
  <si>
    <t>A</t>
  </si>
  <si>
    <t>Deutschland</t>
  </si>
  <si>
    <t>Meyer Ag</t>
  </si>
  <si>
    <t>in verzug</t>
  </si>
  <si>
    <t>nein</t>
  </si>
  <si>
    <t>Sehr zufrieden</t>
  </si>
  <si>
    <t>B</t>
  </si>
  <si>
    <t>Luxemburg</t>
  </si>
  <si>
    <t>Wellna Pumpen GmbH</t>
  </si>
  <si>
    <t>pünktlich</t>
  </si>
  <si>
    <t>C</t>
  </si>
  <si>
    <t>Italia</t>
  </si>
  <si>
    <t>Cwaka Brennerei GmBH</t>
  </si>
  <si>
    <t>D</t>
  </si>
  <si>
    <t>Frankreich</t>
  </si>
  <si>
    <t>Peischl Marketing</t>
  </si>
  <si>
    <t>E</t>
  </si>
  <si>
    <t>Österreich</t>
  </si>
  <si>
    <t>Werthwein Design</t>
  </si>
  <si>
    <t>Zufrieden</t>
  </si>
  <si>
    <t>F</t>
  </si>
  <si>
    <t>Schweiz</t>
  </si>
  <si>
    <t>Mesmer Weinbau AG</t>
  </si>
  <si>
    <t>Kroatien</t>
  </si>
  <si>
    <t>Polen</t>
  </si>
  <si>
    <t>Belgien</t>
  </si>
  <si>
    <t>Niederlande</t>
  </si>
  <si>
    <t>Sehr unzufrieden</t>
  </si>
  <si>
    <t>Unzufrieden</t>
  </si>
  <si>
    <t>Neutral</t>
  </si>
  <si>
    <t>ja</t>
  </si>
  <si>
    <t>M</t>
  </si>
  <si>
    <t>Zeilenbeschriftungen</t>
  </si>
  <si>
    <t>Gesamtergebnis</t>
  </si>
  <si>
    <t>Jan</t>
  </si>
  <si>
    <t>Feb</t>
  </si>
  <si>
    <t>Mär</t>
  </si>
  <si>
    <t>Apr</t>
  </si>
  <si>
    <t>Mai</t>
  </si>
  <si>
    <t>Jun</t>
  </si>
  <si>
    <t>Jul</t>
  </si>
  <si>
    <t>Aug</t>
  </si>
  <si>
    <t>Sep</t>
  </si>
  <si>
    <t>Okt</t>
  </si>
  <si>
    <t>Nov</t>
  </si>
  <si>
    <t>Dez</t>
  </si>
  <si>
    <t>Summe von Umsatz Plan</t>
  </si>
  <si>
    <t>Summe von Umsatz IST</t>
  </si>
  <si>
    <t>Zürich</t>
  </si>
  <si>
    <t>Bern</t>
  </si>
  <si>
    <t>Luzern</t>
  </si>
  <si>
    <t>Genf</t>
  </si>
  <si>
    <t>Umsatz</t>
  </si>
  <si>
    <t>P</t>
  </si>
  <si>
    <t>Lager</t>
  </si>
  <si>
    <t>Lausanne</t>
  </si>
  <si>
    <t>Zug</t>
  </si>
  <si>
    <t>Landquart</t>
  </si>
  <si>
    <t>(Leer)</t>
  </si>
  <si>
    <t>Anzahl von Monate</t>
  </si>
  <si>
    <t>Liefetermintreue</t>
  </si>
  <si>
    <t>Summe von Mitarbeiter (M)</t>
  </si>
  <si>
    <t>Summe von Mitarbeiter (F)</t>
  </si>
  <si>
    <t>Spaltenbeschriftungen</t>
  </si>
  <si>
    <t xml:space="preserve">  </t>
  </si>
  <si>
    <t>schlecht</t>
  </si>
  <si>
    <t>perfekt</t>
  </si>
  <si>
    <t>ok</t>
  </si>
  <si>
    <t>gut</t>
  </si>
  <si>
    <t>IST Wert</t>
  </si>
  <si>
    <t>Ziel</t>
  </si>
  <si>
    <t>(Mehrere Elemente)</t>
  </si>
  <si>
    <t>(Alle)</t>
  </si>
  <si>
    <t>Index</t>
  </si>
  <si>
    <t>Farbe</t>
  </si>
  <si>
    <t>blau</t>
  </si>
  <si>
    <t>rot</t>
  </si>
  <si>
    <t>grün</t>
  </si>
  <si>
    <t>rosa</t>
  </si>
  <si>
    <t>Zeile</t>
  </si>
  <si>
    <t>Spalte</t>
  </si>
  <si>
    <t>Spalte 2</t>
  </si>
  <si>
    <t>Spalte 3</t>
  </si>
  <si>
    <t>Spalte 4</t>
  </si>
  <si>
    <t>Spalte 5</t>
  </si>
  <si>
    <t>Problem: bei grossen Tabellen unübersichtlich</t>
  </si>
  <si>
    <t xml:space="preserve"> </t>
  </si>
  <si>
    <t>d</t>
  </si>
  <si>
    <t>Lösung mit Vergleich (sinnvoll bei grösseren Tabellen)</t>
  </si>
  <si>
    <t>A36</t>
  </si>
  <si>
    <t>(normaler Bezug)</t>
  </si>
  <si>
    <t>Bezug mit indirekt</t>
  </si>
  <si>
    <t>V1</t>
  </si>
  <si>
    <t>schwarz</t>
  </si>
  <si>
    <t>V2</t>
  </si>
  <si>
    <t>V1/2 ?</t>
  </si>
  <si>
    <t>Wechsel zwischen Tabellen</t>
  </si>
  <si>
    <t>A46:D52</t>
  </si>
  <si>
    <t>Tabelle</t>
  </si>
  <si>
    <t>A55:D61</t>
  </si>
  <si>
    <t>Anzahl</t>
  </si>
  <si>
    <t>Anzahl (Abschlüsse)</t>
  </si>
  <si>
    <t>ID (Verkäufer)</t>
  </si>
  <si>
    <t>Häufigkeit</t>
  </si>
  <si>
    <t>Häfigkeit, zähle wenn</t>
  </si>
  <si>
    <t>Indirekt</t>
  </si>
  <si>
    <t>Häfigkeit, zähle wenn (Funktion)</t>
  </si>
  <si>
    <t>Bulletchart 1.</t>
  </si>
  <si>
    <t>Bulletchart 2.</t>
  </si>
  <si>
    <t>Segmentierung</t>
  </si>
  <si>
    <t>Interaktiv wegen IST Wert</t>
  </si>
  <si>
    <t>Prozesssicht</t>
  </si>
  <si>
    <t>Finanzsicht</t>
  </si>
  <si>
    <t>Kundensicht</t>
  </si>
  <si>
    <t>Mitarbeitersicht</t>
  </si>
  <si>
    <t>gestapeltes Säulendiagramm</t>
  </si>
  <si>
    <t>Überschrift wichtig ! / Internet Verbindung</t>
  </si>
  <si>
    <t>Sa</t>
  </si>
  <si>
    <t>Pivotchart generiert Diagrammtyp selbstständig geändert (Linie mit Datenpunkten)</t>
  </si>
  <si>
    <t>Pivotchart =&gt; gestapeltes Säulendiagramm</t>
  </si>
  <si>
    <t>PV Chart =&gt; gestapeltes Säulendiagramm</t>
  </si>
  <si>
    <t>INDEX-Funktion</t>
  </si>
  <si>
    <t>INDEX  &amp; Vergleich Funktion</t>
  </si>
  <si>
    <t>INDIREKT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</si>
</sst>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sz val="11"/>
      <color theme="1"/>
      <name val="Calibri"/>
      <family val="2"/>
      <scheme val="minor"/>
    </font>
    <font>
      <b/>
      <sz val="11"/>
      <color theme="1"/>
      <name val="Calibri"/>
      <family val="2"/>
      <scheme val="minor"/>
    </font>
    <font>
      <b/>
      <sz val="12"/>
      <color rgb="FF000000"/>
      <name val="Calibri"/>
      <family val="2"/>
      <scheme val="minor"/>
    </font>
    <font>
      <sz val="12"/>
      <color theme="1"/>
      <name val="Calibri"/>
      <family val="2"/>
      <scheme val="minor"/>
    </font>
    <font>
      <b/>
      <sz val="12"/>
      <color theme="1"/>
      <name val="Calibri"/>
      <family val="2"/>
      <scheme val="minor"/>
    </font>
    <font>
      <b/>
      <sz val="16"/>
      <color theme="1"/>
      <name val="Calibri (Textkörper)"/>
    </font>
    <font>
      <b/>
      <sz val="16"/>
      <color rgb="FF000000"/>
      <name val="Calibri (Textkörper)"/>
    </font>
  </fonts>
  <fills count="13">
    <fill>
      <patternFill patternType="none"/>
    </fill>
    <fill>
      <patternFill patternType="gray125"/>
    </fill>
    <fill>
      <patternFill patternType="solid">
        <fgColor theme="0" tint="-0.149998474074526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92D050"/>
        <bgColor indexed="64"/>
      </patternFill>
    </fill>
  </fills>
  <borders count="2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8EA9DB"/>
      </bottom>
      <diagonal/>
    </border>
    <border>
      <left/>
      <right/>
      <top style="thin">
        <color rgb="FF8EA9DB"/>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3">
    <xf numFmtId="0" fontId="0" fillId="0" borderId="0"/>
    <xf numFmtId="0" fontId="1" fillId="0" borderId="0"/>
    <xf numFmtId="9" fontId="4" fillId="0" borderId="0" applyFont="0" applyFill="0" applyBorder="0" applyAlignment="0" applyProtection="0"/>
  </cellStyleXfs>
  <cellXfs count="74">
    <xf numFmtId="0" fontId="0" fillId="0" borderId="0" xfId="0"/>
    <xf numFmtId="0" fontId="1" fillId="0" borderId="0" xfId="1"/>
    <xf numFmtId="14" fontId="1" fillId="0" borderId="0" xfId="1" applyNumberFormat="1"/>
    <xf numFmtId="1" fontId="1" fillId="0" borderId="0" xfId="1" applyNumberFormat="1"/>
    <xf numFmtId="0" fontId="0" fillId="0" borderId="0" xfId="0" pivotButton="1"/>
    <xf numFmtId="0" fontId="0" fillId="0" borderId="0" xfId="0" applyAlignment="1">
      <alignment horizontal="left"/>
    </xf>
    <xf numFmtId="0" fontId="0" fillId="0" borderId="0" xfId="0" applyNumberFormat="1"/>
    <xf numFmtId="0" fontId="1" fillId="2" borderId="0" xfId="1" applyFill="1"/>
    <xf numFmtId="14" fontId="1" fillId="2" borderId="0" xfId="1" applyNumberFormat="1" applyFill="1"/>
    <xf numFmtId="0" fontId="1" fillId="0" borderId="0" xfId="1" applyFill="1"/>
    <xf numFmtId="14" fontId="1" fillId="0" borderId="0" xfId="1" applyNumberFormat="1" applyFill="1"/>
    <xf numFmtId="0" fontId="2" fillId="3" borderId="0" xfId="1" applyFont="1" applyFill="1"/>
    <xf numFmtId="0" fontId="1" fillId="4" borderId="0" xfId="1" applyFill="1"/>
    <xf numFmtId="0" fontId="1" fillId="0" borderId="2" xfId="1" applyBorder="1" applyAlignment="1"/>
    <xf numFmtId="0" fontId="1" fillId="0" borderId="1" xfId="1" applyBorder="1" applyAlignment="1"/>
    <xf numFmtId="0" fontId="0" fillId="0" borderId="0" xfId="0" applyFill="1"/>
    <xf numFmtId="0" fontId="3" fillId="0" borderId="3" xfId="0" applyFont="1" applyFill="1" applyBorder="1"/>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4" xfId="0" applyFont="1" applyFill="1" applyBorder="1"/>
    <xf numFmtId="9" fontId="0" fillId="0" borderId="0" xfId="2" applyFont="1"/>
    <xf numFmtId="0" fontId="0" fillId="0" borderId="5" xfId="0" applyBorder="1"/>
    <xf numFmtId="0" fontId="0" fillId="0" borderId="6" xfId="0" applyBorder="1"/>
    <xf numFmtId="0" fontId="0" fillId="0" borderId="10" xfId="0" applyBorder="1"/>
    <xf numFmtId="0" fontId="0" fillId="0" borderId="11" xfId="0" applyBorder="1"/>
    <xf numFmtId="0" fontId="0" fillId="0" borderId="15" xfId="0" applyBorder="1"/>
    <xf numFmtId="0" fontId="0" fillId="0" borderId="2" xfId="0" applyBorder="1"/>
    <xf numFmtId="0" fontId="0" fillId="6" borderId="9" xfId="0" applyFill="1" applyBorder="1"/>
    <xf numFmtId="0" fontId="0" fillId="6" borderId="7" xfId="0" applyFill="1" applyBorder="1"/>
    <xf numFmtId="0" fontId="0" fillId="6" borderId="8" xfId="0" applyFill="1" applyBorder="1"/>
    <xf numFmtId="0" fontId="0" fillId="7" borderId="1" xfId="0" applyFill="1" applyBorder="1"/>
    <xf numFmtId="0" fontId="0" fillId="7" borderId="12" xfId="0" applyFill="1" applyBorder="1"/>
    <xf numFmtId="0" fontId="0" fillId="7" borderId="13" xfId="0" applyFill="1" applyBorder="1"/>
    <xf numFmtId="0" fontId="0" fillId="7" borderId="14" xfId="0" applyFill="1" applyBorder="1"/>
    <xf numFmtId="0" fontId="0" fillId="8" borderId="0" xfId="0" applyFill="1"/>
    <xf numFmtId="0" fontId="0" fillId="2" borderId="0" xfId="0" applyFill="1"/>
    <xf numFmtId="0" fontId="0" fillId="9" borderId="5" xfId="0" applyFill="1" applyBorder="1"/>
    <xf numFmtId="0" fontId="0" fillId="0" borderId="0" xfId="0" applyAlignment="1">
      <alignment horizontal="center"/>
    </xf>
    <xf numFmtId="0" fontId="0" fillId="2" borderId="5" xfId="0" applyFill="1" applyBorder="1"/>
    <xf numFmtId="0" fontId="0" fillId="0" borderId="5" xfId="0" applyFill="1" applyBorder="1"/>
    <xf numFmtId="0" fontId="0" fillId="2" borderId="17" xfId="0" applyFill="1" applyBorder="1"/>
    <xf numFmtId="0" fontId="0" fillId="0" borderId="18" xfId="0" applyFill="1" applyBorder="1"/>
    <xf numFmtId="0" fontId="0" fillId="2" borderId="19" xfId="0" applyFill="1" applyBorder="1"/>
    <xf numFmtId="0" fontId="0" fillId="0" borderId="20" xfId="0" applyFill="1" applyBorder="1"/>
    <xf numFmtId="0" fontId="0" fillId="0" borderId="18" xfId="0" applyBorder="1"/>
    <xf numFmtId="0" fontId="0" fillId="0" borderId="20" xfId="0" applyBorder="1"/>
    <xf numFmtId="0" fontId="0" fillId="8" borderId="1" xfId="0" applyFill="1" applyBorder="1"/>
    <xf numFmtId="0" fontId="0" fillId="8" borderId="5" xfId="0" applyFill="1" applyBorder="1"/>
    <xf numFmtId="0" fontId="0" fillId="2" borderId="21" xfId="0" applyFill="1"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0" xfId="0" applyBorder="1"/>
    <xf numFmtId="0" fontId="0" fillId="0" borderId="5" xfId="0" applyBorder="1" applyAlignment="1">
      <alignment horizontal="center"/>
    </xf>
    <xf numFmtId="0" fontId="0" fillId="0" borderId="0" xfId="0" applyFill="1" applyBorder="1"/>
    <xf numFmtId="0" fontId="0" fillId="10" borderId="0" xfId="0" applyFill="1" applyBorder="1"/>
    <xf numFmtId="0" fontId="0" fillId="10" borderId="5" xfId="0" applyFill="1" applyBorder="1"/>
    <xf numFmtId="0" fontId="0" fillId="0" borderId="0" xfId="0" applyAlignment="1">
      <alignment vertical="center"/>
    </xf>
    <xf numFmtId="9" fontId="0" fillId="5" borderId="1" xfId="2" applyFont="1" applyFill="1" applyBorder="1"/>
    <xf numFmtId="0" fontId="5" fillId="0" borderId="0" xfId="0" applyFont="1"/>
    <xf numFmtId="9" fontId="0" fillId="8" borderId="0" xfId="2" applyFont="1" applyFill="1"/>
    <xf numFmtId="0" fontId="6" fillId="0" borderId="0" xfId="0" applyFont="1"/>
    <xf numFmtId="0" fontId="7" fillId="0" borderId="3" xfId="0" applyFont="1" applyFill="1" applyBorder="1"/>
    <xf numFmtId="0" fontId="0" fillId="11" borderId="0" xfId="0" applyFill="1"/>
    <xf numFmtId="0" fontId="0" fillId="12" borderId="0" xfId="0" applyFill="1"/>
    <xf numFmtId="0" fontId="0" fillId="12" borderId="5" xfId="0" applyFill="1" applyBorder="1"/>
    <xf numFmtId="0" fontId="0" fillId="12" borderId="26" xfId="0" applyFill="1" applyBorder="1"/>
    <xf numFmtId="0" fontId="0" fillId="12" borderId="1" xfId="0" applyFill="1" applyBorder="1"/>
    <xf numFmtId="0" fontId="2" fillId="0" borderId="0" xfId="0" applyFont="1" applyAlignment="1">
      <alignment horizontal="center"/>
    </xf>
    <xf numFmtId="0" fontId="0" fillId="6" borderId="15" xfId="0" applyFill="1" applyBorder="1" applyAlignment="1">
      <alignment horizontal="center"/>
    </xf>
    <xf numFmtId="0" fontId="0" fillId="6" borderId="16" xfId="0" applyFill="1" applyBorder="1" applyAlignment="1">
      <alignment horizontal="center"/>
    </xf>
    <xf numFmtId="0" fontId="0" fillId="6" borderId="2" xfId="0" applyFill="1" applyBorder="1" applyAlignment="1">
      <alignment horizontal="center"/>
    </xf>
  </cellXfs>
  <cellStyles count="3">
    <cellStyle name="Prozent" xfId="2" builtinId="5"/>
    <cellStyle name="Standard" xfId="0" builtinId="0"/>
    <cellStyle name="Standard 2" xfId="1" xr:uid="{A884F6D5-25F2-9A4A-837E-18160A2CC893}"/>
  </cellStyles>
  <dxfs count="0"/>
  <tableStyles count="0" defaultTableStyle="TableStyleMedium2" defaultPivotStyle="PivotStyleLight16"/>
  <colors>
    <mruColors>
      <color rgb="FF0C5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2.png"/></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1.xml"/><Relationship Id="rId1" Type="http://schemas.microsoft.com/office/2011/relationships/chartStyle" Target="style11.xml"/><Relationship Id="rId4" Type="http://schemas.openxmlformats.org/officeDocument/2006/relationships/image" Target="../media/image2.png"/></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62798115092218E-2"/>
          <c:y val="9.2929279994731565E-2"/>
          <c:w val="0.88144175679085912"/>
          <c:h val="0.80142174481125794"/>
        </c:manualLayout>
      </c:layout>
      <c:barChart>
        <c:barDir val="col"/>
        <c:grouping val="clustered"/>
        <c:varyColors val="0"/>
        <c:ser>
          <c:idx val="0"/>
          <c:order val="0"/>
          <c:tx>
            <c:strRef>
              <c:f>F!$B$1</c:f>
              <c:strCache>
                <c:ptCount val="1"/>
                <c:pt idx="0">
                  <c:v>Summe von Umsatz Plan</c:v>
                </c:pt>
              </c:strCache>
            </c:strRef>
          </c:tx>
          <c:spPr>
            <a:solidFill>
              <a:schemeClr val="tx1"/>
            </a:solidFill>
            <a:ln>
              <a:noFill/>
            </a:ln>
            <a:effectLst/>
          </c:spPr>
          <c:invertIfNegative val="0"/>
          <c:cat>
            <c:strRef>
              <c:f>F!$A$2:$A$14</c:f>
              <c:strCache>
                <c:ptCount val="12"/>
                <c:pt idx="0">
                  <c:v>Jan</c:v>
                </c:pt>
                <c:pt idx="1">
                  <c:v>Feb</c:v>
                </c:pt>
                <c:pt idx="2">
                  <c:v>Mär</c:v>
                </c:pt>
                <c:pt idx="3">
                  <c:v>Apr</c:v>
                </c:pt>
                <c:pt idx="4">
                  <c:v>Mai</c:v>
                </c:pt>
                <c:pt idx="5">
                  <c:v>Jun</c:v>
                </c:pt>
                <c:pt idx="6">
                  <c:v>Jul</c:v>
                </c:pt>
                <c:pt idx="7">
                  <c:v>Aug</c:v>
                </c:pt>
                <c:pt idx="8">
                  <c:v>Sep</c:v>
                </c:pt>
                <c:pt idx="9">
                  <c:v>Okt</c:v>
                </c:pt>
                <c:pt idx="10">
                  <c:v>Nov</c:v>
                </c:pt>
                <c:pt idx="11">
                  <c:v>Dez</c:v>
                </c:pt>
              </c:strCache>
            </c:strRef>
          </c:cat>
          <c:val>
            <c:numRef>
              <c:f>F!$B$2:$B$14</c:f>
              <c:numCache>
                <c:formatCode>General</c:formatCode>
                <c:ptCount val="12"/>
                <c:pt idx="0">
                  <c:v>171848</c:v>
                </c:pt>
                <c:pt idx="1">
                  <c:v>152827</c:v>
                </c:pt>
                <c:pt idx="2">
                  <c:v>171512</c:v>
                </c:pt>
                <c:pt idx="3">
                  <c:v>184744</c:v>
                </c:pt>
                <c:pt idx="4">
                  <c:v>179742</c:v>
                </c:pt>
                <c:pt idx="5">
                  <c:v>147947</c:v>
                </c:pt>
                <c:pt idx="6">
                  <c:v>172954</c:v>
                </c:pt>
                <c:pt idx="7">
                  <c:v>168308</c:v>
                </c:pt>
                <c:pt idx="8">
                  <c:v>175815</c:v>
                </c:pt>
                <c:pt idx="9">
                  <c:v>172159</c:v>
                </c:pt>
                <c:pt idx="10">
                  <c:v>172401</c:v>
                </c:pt>
                <c:pt idx="11">
                  <c:v>175167</c:v>
                </c:pt>
              </c:numCache>
            </c:numRef>
          </c:val>
          <c:extLst>
            <c:ext xmlns:c16="http://schemas.microsoft.com/office/drawing/2014/chart" uri="{C3380CC4-5D6E-409C-BE32-E72D297353CC}">
              <c16:uniqueId val="{00000000-C4E8-5446-B1DF-59DBF54B0A11}"/>
            </c:ext>
          </c:extLst>
        </c:ser>
        <c:dLbls>
          <c:showLegendKey val="0"/>
          <c:showVal val="0"/>
          <c:showCatName val="0"/>
          <c:showSerName val="0"/>
          <c:showPercent val="0"/>
          <c:showBubbleSize val="0"/>
        </c:dLbls>
        <c:gapWidth val="219"/>
        <c:axId val="1516114416"/>
        <c:axId val="1515500992"/>
      </c:barChart>
      <c:lineChart>
        <c:grouping val="standard"/>
        <c:varyColors val="0"/>
        <c:ser>
          <c:idx val="1"/>
          <c:order val="1"/>
          <c:tx>
            <c:strRef>
              <c:f>F!$C$1</c:f>
              <c:strCache>
                <c:ptCount val="1"/>
                <c:pt idx="0">
                  <c:v>Summe von Umsatz IST</c:v>
                </c:pt>
              </c:strCache>
            </c:strRef>
          </c:tx>
          <c:spPr>
            <a:ln w="28575" cap="rnd">
              <a:solidFill>
                <a:schemeClr val="accent2"/>
              </a:solidFill>
              <a:round/>
            </a:ln>
            <a:effectLst/>
          </c:spPr>
          <c:marker>
            <c:symbol val="none"/>
          </c:marker>
          <c:cat>
            <c:strRef>
              <c:f>F!$A$2:$A$14</c:f>
              <c:strCache>
                <c:ptCount val="12"/>
                <c:pt idx="0">
                  <c:v>Jan</c:v>
                </c:pt>
                <c:pt idx="1">
                  <c:v>Feb</c:v>
                </c:pt>
                <c:pt idx="2">
                  <c:v>Mär</c:v>
                </c:pt>
                <c:pt idx="3">
                  <c:v>Apr</c:v>
                </c:pt>
                <c:pt idx="4">
                  <c:v>Mai</c:v>
                </c:pt>
                <c:pt idx="5">
                  <c:v>Jun</c:v>
                </c:pt>
                <c:pt idx="6">
                  <c:v>Jul</c:v>
                </c:pt>
                <c:pt idx="7">
                  <c:v>Aug</c:v>
                </c:pt>
                <c:pt idx="8">
                  <c:v>Sep</c:v>
                </c:pt>
                <c:pt idx="9">
                  <c:v>Okt</c:v>
                </c:pt>
                <c:pt idx="10">
                  <c:v>Nov</c:v>
                </c:pt>
                <c:pt idx="11">
                  <c:v>Dez</c:v>
                </c:pt>
              </c:strCache>
            </c:strRef>
          </c:cat>
          <c:val>
            <c:numRef>
              <c:f>F!$C$2:$C$14</c:f>
              <c:numCache>
                <c:formatCode>General</c:formatCode>
                <c:ptCount val="12"/>
                <c:pt idx="0">
                  <c:v>151819</c:v>
                </c:pt>
                <c:pt idx="1">
                  <c:v>166902</c:v>
                </c:pt>
                <c:pt idx="2">
                  <c:v>165159</c:v>
                </c:pt>
                <c:pt idx="3">
                  <c:v>183740</c:v>
                </c:pt>
                <c:pt idx="4">
                  <c:v>162413</c:v>
                </c:pt>
                <c:pt idx="5">
                  <c:v>167764</c:v>
                </c:pt>
                <c:pt idx="6">
                  <c:v>181166</c:v>
                </c:pt>
              </c:numCache>
            </c:numRef>
          </c:val>
          <c:smooth val="0"/>
          <c:extLst>
            <c:ext xmlns:c16="http://schemas.microsoft.com/office/drawing/2014/chart" uri="{C3380CC4-5D6E-409C-BE32-E72D297353CC}">
              <c16:uniqueId val="{00000001-C4E8-5446-B1DF-59DBF54B0A11}"/>
            </c:ext>
          </c:extLst>
        </c:ser>
        <c:dLbls>
          <c:showLegendKey val="0"/>
          <c:showVal val="0"/>
          <c:showCatName val="0"/>
          <c:showSerName val="0"/>
          <c:showPercent val="0"/>
          <c:showBubbleSize val="0"/>
        </c:dLbls>
        <c:marker val="1"/>
        <c:smooth val="0"/>
        <c:axId val="1516114416"/>
        <c:axId val="1515500992"/>
      </c:lineChart>
      <c:catAx>
        <c:axId val="151611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515500992"/>
        <c:crosses val="autoZero"/>
        <c:auto val="1"/>
        <c:lblAlgn val="ctr"/>
        <c:lblOffset val="100"/>
        <c:noMultiLvlLbl val="0"/>
      </c:catAx>
      <c:valAx>
        <c:axId val="151550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51611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dist="50800" dir="5400000" sx="1000" sy="1000" algn="ctr" rotWithShape="0">
        <a:srgbClr val="000000"/>
      </a:outerShdw>
    </a:effectLst>
  </c:spPr>
  <c:txPr>
    <a:bodyPr/>
    <a:lstStyle/>
    <a:p>
      <a:pPr>
        <a:defRPr>
          <a:solidFill>
            <a:schemeClr val="tx1"/>
          </a:solidFill>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[Dashboard.xlsx]M!PivotTable8</c:name>
    <c:fmtId val="3"/>
  </c:pivotSource>
  <c:chart>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blipFill dpi="0" rotWithShape="1">
            <a:blip xmlns:r="http://schemas.openxmlformats.org/officeDocument/2006/relationships" r:embed="rId4"/>
            <a:srcRect/>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stretch>
              <a:fillRect/>
            </a:stretch>
          </a:blipFill>
          <a:ln>
            <a:noFill/>
          </a:ln>
          <a:effectLst/>
        </c:spPr>
      </c:pivotFmt>
      <c:pivotFmt>
        <c:idx val="14"/>
        <c:spPr>
          <a:blipFill dpi="0" rotWithShape="1">
            <a:blip xmlns:r="http://schemas.openxmlformats.org/officeDocument/2006/relationships" r:embed="rId4"/>
            <a:srcRect/>
            <a:stretch>
              <a:fillRect/>
            </a:stretch>
          </a:blipFill>
          <a:ln>
            <a:noFill/>
          </a:ln>
          <a:effectLst/>
        </c:spPr>
      </c:pivotFmt>
      <c:pivotFmt>
        <c:idx val="15"/>
        <c:spPr>
          <a:blipFill dpi="0" rotWithShape="1">
            <a:blip xmlns:r="http://schemas.openxmlformats.org/officeDocument/2006/relationships" r:embed="rId4"/>
            <a:srcRect/>
            <a:stretch>
              <a:fillRect/>
            </a:stretch>
          </a:blipFill>
          <a:ln>
            <a:noFill/>
          </a:ln>
          <a:effectLst/>
        </c:spPr>
      </c:pivotFmt>
    </c:pivotFmts>
    <c:plotArea>
      <c:layout>
        <c:manualLayout>
          <c:layoutTarget val="inner"/>
          <c:xMode val="edge"/>
          <c:yMode val="edge"/>
          <c:x val="0.10491436771842369"/>
          <c:y val="0.13156820711547182"/>
          <c:w val="0.83750618402915467"/>
          <c:h val="0.77006715617278654"/>
        </c:manualLayout>
      </c:layout>
      <c:barChart>
        <c:barDir val="bar"/>
        <c:grouping val="stacked"/>
        <c:varyColors val="0"/>
        <c:ser>
          <c:idx val="0"/>
          <c:order val="0"/>
          <c:tx>
            <c:strRef>
              <c:f>M!$B$6</c:f>
              <c:strCache>
                <c:ptCount val="1"/>
                <c:pt idx="0">
                  <c:v>Summe von Mitarbeiter (M)</c:v>
                </c:pt>
              </c:strCache>
            </c:strRef>
          </c:tx>
          <c:spPr>
            <a:blipFill>
              <a:blip xmlns:r="http://schemas.openxmlformats.org/officeDocument/2006/relationships" r:embed="rId3"/>
              <a:stretch>
                <a:fillRect/>
              </a:stretch>
            </a:blipFill>
            <a:ln>
              <a:noFill/>
            </a:ln>
            <a:effectLst/>
          </c:spPr>
          <c:invertIfNegative val="0"/>
          <c:pictureOptions>
            <c:pictureFormat val="stackScale"/>
            <c:pictureStackUnit val="10"/>
          </c:pictureOptions>
          <c:cat>
            <c:strRef>
              <c:f>M!$A$7:$A$11</c:f>
              <c:strCache>
                <c:ptCount val="4"/>
                <c:pt idx="0">
                  <c:v>Bern</c:v>
                </c:pt>
                <c:pt idx="1">
                  <c:v>Genf</c:v>
                </c:pt>
                <c:pt idx="2">
                  <c:v>Luzern</c:v>
                </c:pt>
                <c:pt idx="3">
                  <c:v>Zürich</c:v>
                </c:pt>
              </c:strCache>
            </c:strRef>
          </c:cat>
          <c:val>
            <c:numRef>
              <c:f>M!$B$7:$B$11</c:f>
              <c:numCache>
                <c:formatCode>General</c:formatCode>
                <c:ptCount val="4"/>
                <c:pt idx="0">
                  <c:v>98</c:v>
                </c:pt>
                <c:pt idx="1">
                  <c:v>14</c:v>
                </c:pt>
                <c:pt idx="2">
                  <c:v>48</c:v>
                </c:pt>
                <c:pt idx="3">
                  <c:v>52</c:v>
                </c:pt>
              </c:numCache>
            </c:numRef>
          </c:val>
          <c:extLst>
            <c:ext xmlns:c16="http://schemas.microsoft.com/office/drawing/2014/chart" uri="{C3380CC4-5D6E-409C-BE32-E72D297353CC}">
              <c16:uniqueId val="{00000000-7E67-0744-9807-EB3A20ABC471}"/>
            </c:ext>
          </c:extLst>
        </c:ser>
        <c:ser>
          <c:idx val="1"/>
          <c:order val="1"/>
          <c:tx>
            <c:strRef>
              <c:f>M!$C$6</c:f>
              <c:strCache>
                <c:ptCount val="1"/>
                <c:pt idx="0">
                  <c:v>Summe von Mitarbeiter (F)</c:v>
                </c:pt>
              </c:strCache>
            </c:strRef>
          </c:tx>
          <c:spPr>
            <a:blipFill dpi="0" rotWithShape="1">
              <a:blip xmlns:r="http://schemas.openxmlformats.org/officeDocument/2006/relationships" r:embed="rId4"/>
              <a:srcRect/>
              <a:stretch>
                <a:fillRect/>
              </a:stretch>
            </a:blipFill>
            <a:ln>
              <a:noFill/>
            </a:ln>
            <a:effectLst/>
          </c:spPr>
          <c:invertIfNegative val="0"/>
          <c:pictureOptions>
            <c:pictureFormat val="stackScale"/>
            <c:pictureStackUnit val="10"/>
          </c:pictureOptions>
          <c:cat>
            <c:strRef>
              <c:f>M!$A$7:$A$11</c:f>
              <c:strCache>
                <c:ptCount val="4"/>
                <c:pt idx="0">
                  <c:v>Bern</c:v>
                </c:pt>
                <c:pt idx="1">
                  <c:v>Genf</c:v>
                </c:pt>
                <c:pt idx="2">
                  <c:v>Luzern</c:v>
                </c:pt>
                <c:pt idx="3">
                  <c:v>Zürich</c:v>
                </c:pt>
              </c:strCache>
            </c:strRef>
          </c:cat>
          <c:val>
            <c:numRef>
              <c:f>M!$C$7:$C$11</c:f>
              <c:numCache>
                <c:formatCode>General</c:formatCode>
                <c:ptCount val="4"/>
                <c:pt idx="0">
                  <c:v>100</c:v>
                </c:pt>
                <c:pt idx="1">
                  <c:v>40</c:v>
                </c:pt>
                <c:pt idx="2">
                  <c:v>96</c:v>
                </c:pt>
                <c:pt idx="3">
                  <c:v>37</c:v>
                </c:pt>
              </c:numCache>
            </c:numRef>
          </c:val>
          <c:extLst>
            <c:ext xmlns:c16="http://schemas.microsoft.com/office/drawing/2014/chart" uri="{C3380CC4-5D6E-409C-BE32-E72D297353CC}">
              <c16:uniqueId val="{00000001-7E67-0744-9807-EB3A20ABC471}"/>
            </c:ext>
          </c:extLst>
        </c:ser>
        <c:dLbls>
          <c:showLegendKey val="0"/>
          <c:showVal val="0"/>
          <c:showCatName val="0"/>
          <c:showSerName val="0"/>
          <c:showPercent val="0"/>
          <c:showBubbleSize val="0"/>
        </c:dLbls>
        <c:gapWidth val="219"/>
        <c:overlap val="100"/>
        <c:axId val="777761039"/>
        <c:axId val="773826095"/>
      </c:barChart>
      <c:catAx>
        <c:axId val="77776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773826095"/>
        <c:crosses val="autoZero"/>
        <c:auto val="1"/>
        <c:lblAlgn val="ctr"/>
        <c:lblOffset val="100"/>
        <c:noMultiLvlLbl val="0"/>
      </c:catAx>
      <c:valAx>
        <c:axId val="77382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77776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884013817074"/>
          <c:y val="6.0059941831595375E-2"/>
          <c:w val="0.79637816730674338"/>
          <c:h val="0.71558700432716182"/>
        </c:manualLayout>
      </c:layout>
      <c:barChart>
        <c:barDir val="bar"/>
        <c:grouping val="percentStacked"/>
        <c:varyColors val="0"/>
        <c:ser>
          <c:idx val="0"/>
          <c:order val="0"/>
          <c:tx>
            <c:strRef>
              <c:f>K!$C$4:$C$5</c:f>
              <c:strCache>
                <c:ptCount val="1"/>
                <c:pt idx="0">
                  <c:v>Sehr unzufrieden</c:v>
                </c:pt>
              </c:strCache>
            </c:strRef>
          </c:tx>
          <c:spPr>
            <a:solidFill>
              <a:schemeClr val="accent1"/>
            </a:solidFill>
            <a:ln>
              <a:noFill/>
            </a:ln>
            <a:effectLst/>
          </c:spPr>
          <c:invertIfNegative val="0"/>
          <c:cat>
            <c:strRef>
              <c:f>K!$B$6:$B$12</c:f>
              <c:strCache>
                <c:ptCount val="6"/>
                <c:pt idx="0">
                  <c:v>A</c:v>
                </c:pt>
                <c:pt idx="1">
                  <c:v>B</c:v>
                </c:pt>
                <c:pt idx="2">
                  <c:v>C</c:v>
                </c:pt>
                <c:pt idx="3">
                  <c:v>D</c:v>
                </c:pt>
                <c:pt idx="4">
                  <c:v>E</c:v>
                </c:pt>
                <c:pt idx="5">
                  <c:v>F</c:v>
                </c:pt>
              </c:strCache>
            </c:strRef>
          </c:cat>
          <c:val>
            <c:numRef>
              <c:f>K!$C$6:$C$12</c:f>
              <c:numCache>
                <c:formatCode>General</c:formatCode>
                <c:ptCount val="6"/>
                <c:pt idx="0">
                  <c:v>3</c:v>
                </c:pt>
                <c:pt idx="1">
                  <c:v>4</c:v>
                </c:pt>
                <c:pt idx="2">
                  <c:v>5</c:v>
                </c:pt>
                <c:pt idx="3">
                  <c:v>4</c:v>
                </c:pt>
                <c:pt idx="4">
                  <c:v>4</c:v>
                </c:pt>
                <c:pt idx="5">
                  <c:v>3</c:v>
                </c:pt>
              </c:numCache>
            </c:numRef>
          </c:val>
          <c:extLst>
            <c:ext xmlns:c16="http://schemas.microsoft.com/office/drawing/2014/chart" uri="{C3380CC4-5D6E-409C-BE32-E72D297353CC}">
              <c16:uniqueId val="{00000005-63EE-C640-AA02-8021239FD31D}"/>
            </c:ext>
          </c:extLst>
        </c:ser>
        <c:ser>
          <c:idx val="1"/>
          <c:order val="1"/>
          <c:tx>
            <c:strRef>
              <c:f>K!$D$4:$D$5</c:f>
              <c:strCache>
                <c:ptCount val="1"/>
                <c:pt idx="0">
                  <c:v>Neutral</c:v>
                </c:pt>
              </c:strCache>
            </c:strRef>
          </c:tx>
          <c:spPr>
            <a:solidFill>
              <a:schemeClr val="accent2"/>
            </a:solidFill>
            <a:ln>
              <a:noFill/>
            </a:ln>
            <a:effectLst/>
          </c:spPr>
          <c:invertIfNegative val="0"/>
          <c:cat>
            <c:strRef>
              <c:f>K!$B$6:$B$12</c:f>
              <c:strCache>
                <c:ptCount val="6"/>
                <c:pt idx="0">
                  <c:v>A</c:v>
                </c:pt>
                <c:pt idx="1">
                  <c:v>B</c:v>
                </c:pt>
                <c:pt idx="2">
                  <c:v>C</c:v>
                </c:pt>
                <c:pt idx="3">
                  <c:v>D</c:v>
                </c:pt>
                <c:pt idx="4">
                  <c:v>E</c:v>
                </c:pt>
                <c:pt idx="5">
                  <c:v>F</c:v>
                </c:pt>
              </c:strCache>
            </c:strRef>
          </c:cat>
          <c:val>
            <c:numRef>
              <c:f>K!$D$6:$D$12</c:f>
              <c:numCache>
                <c:formatCode>General</c:formatCode>
                <c:ptCount val="6"/>
                <c:pt idx="0">
                  <c:v>9</c:v>
                </c:pt>
                <c:pt idx="1">
                  <c:v>7</c:v>
                </c:pt>
                <c:pt idx="2">
                  <c:v>7</c:v>
                </c:pt>
                <c:pt idx="3">
                  <c:v>6</c:v>
                </c:pt>
                <c:pt idx="4">
                  <c:v>7</c:v>
                </c:pt>
                <c:pt idx="5">
                  <c:v>7</c:v>
                </c:pt>
              </c:numCache>
            </c:numRef>
          </c:val>
          <c:extLst>
            <c:ext xmlns:c16="http://schemas.microsoft.com/office/drawing/2014/chart" uri="{C3380CC4-5D6E-409C-BE32-E72D297353CC}">
              <c16:uniqueId val="{00000006-63EE-C640-AA02-8021239FD31D}"/>
            </c:ext>
          </c:extLst>
        </c:ser>
        <c:ser>
          <c:idx val="2"/>
          <c:order val="2"/>
          <c:tx>
            <c:strRef>
              <c:f>K!$E$4:$E$5</c:f>
              <c:strCache>
                <c:ptCount val="1"/>
                <c:pt idx="0">
                  <c:v>Unzufrieden</c:v>
                </c:pt>
              </c:strCache>
            </c:strRef>
          </c:tx>
          <c:spPr>
            <a:solidFill>
              <a:schemeClr val="accent3"/>
            </a:solidFill>
            <a:ln>
              <a:noFill/>
            </a:ln>
            <a:effectLst/>
          </c:spPr>
          <c:invertIfNegative val="0"/>
          <c:cat>
            <c:strRef>
              <c:f>K!$B$6:$B$12</c:f>
              <c:strCache>
                <c:ptCount val="6"/>
                <c:pt idx="0">
                  <c:v>A</c:v>
                </c:pt>
                <c:pt idx="1">
                  <c:v>B</c:v>
                </c:pt>
                <c:pt idx="2">
                  <c:v>C</c:v>
                </c:pt>
                <c:pt idx="3">
                  <c:v>D</c:v>
                </c:pt>
                <c:pt idx="4">
                  <c:v>E</c:v>
                </c:pt>
                <c:pt idx="5">
                  <c:v>F</c:v>
                </c:pt>
              </c:strCache>
            </c:strRef>
          </c:cat>
          <c:val>
            <c:numRef>
              <c:f>K!$E$6:$E$12</c:f>
              <c:numCache>
                <c:formatCode>General</c:formatCode>
                <c:ptCount val="6"/>
                <c:pt idx="0">
                  <c:v>3</c:v>
                </c:pt>
                <c:pt idx="1">
                  <c:v>2</c:v>
                </c:pt>
                <c:pt idx="2">
                  <c:v>2</c:v>
                </c:pt>
                <c:pt idx="3">
                  <c:v>5</c:v>
                </c:pt>
                <c:pt idx="4">
                  <c:v>3</c:v>
                </c:pt>
                <c:pt idx="5">
                  <c:v>4</c:v>
                </c:pt>
              </c:numCache>
            </c:numRef>
          </c:val>
          <c:extLst>
            <c:ext xmlns:c16="http://schemas.microsoft.com/office/drawing/2014/chart" uri="{C3380CC4-5D6E-409C-BE32-E72D297353CC}">
              <c16:uniqueId val="{00000007-63EE-C640-AA02-8021239FD31D}"/>
            </c:ext>
          </c:extLst>
        </c:ser>
        <c:ser>
          <c:idx val="3"/>
          <c:order val="3"/>
          <c:tx>
            <c:strRef>
              <c:f>K!$F$4:$F$5</c:f>
              <c:strCache>
                <c:ptCount val="1"/>
                <c:pt idx="0">
                  <c:v>Zufrieden</c:v>
                </c:pt>
              </c:strCache>
            </c:strRef>
          </c:tx>
          <c:spPr>
            <a:solidFill>
              <a:schemeClr val="accent4"/>
            </a:solidFill>
            <a:ln>
              <a:noFill/>
            </a:ln>
            <a:effectLst/>
          </c:spPr>
          <c:invertIfNegative val="0"/>
          <c:cat>
            <c:strRef>
              <c:f>K!$B$6:$B$12</c:f>
              <c:strCache>
                <c:ptCount val="6"/>
                <c:pt idx="0">
                  <c:v>A</c:v>
                </c:pt>
                <c:pt idx="1">
                  <c:v>B</c:v>
                </c:pt>
                <c:pt idx="2">
                  <c:v>C</c:v>
                </c:pt>
                <c:pt idx="3">
                  <c:v>D</c:v>
                </c:pt>
                <c:pt idx="4">
                  <c:v>E</c:v>
                </c:pt>
                <c:pt idx="5">
                  <c:v>F</c:v>
                </c:pt>
              </c:strCache>
            </c:strRef>
          </c:cat>
          <c:val>
            <c:numRef>
              <c:f>K!$F$6:$F$12</c:f>
              <c:numCache>
                <c:formatCode>General</c:formatCode>
                <c:ptCount val="6"/>
                <c:pt idx="0">
                  <c:v>16</c:v>
                </c:pt>
                <c:pt idx="1">
                  <c:v>18</c:v>
                </c:pt>
                <c:pt idx="2">
                  <c:v>17</c:v>
                </c:pt>
                <c:pt idx="3">
                  <c:v>15</c:v>
                </c:pt>
                <c:pt idx="4">
                  <c:v>18</c:v>
                </c:pt>
                <c:pt idx="5">
                  <c:v>18</c:v>
                </c:pt>
              </c:numCache>
            </c:numRef>
          </c:val>
          <c:extLst>
            <c:ext xmlns:c16="http://schemas.microsoft.com/office/drawing/2014/chart" uri="{C3380CC4-5D6E-409C-BE32-E72D297353CC}">
              <c16:uniqueId val="{00000008-63EE-C640-AA02-8021239FD31D}"/>
            </c:ext>
          </c:extLst>
        </c:ser>
        <c:ser>
          <c:idx val="4"/>
          <c:order val="4"/>
          <c:tx>
            <c:strRef>
              <c:f>K!$G$4:$G$5</c:f>
              <c:strCache>
                <c:ptCount val="1"/>
                <c:pt idx="0">
                  <c:v>Sehr zufrieden</c:v>
                </c:pt>
              </c:strCache>
            </c:strRef>
          </c:tx>
          <c:spPr>
            <a:solidFill>
              <a:schemeClr val="accent5"/>
            </a:solidFill>
            <a:ln>
              <a:noFill/>
            </a:ln>
            <a:effectLst/>
          </c:spPr>
          <c:invertIfNegative val="0"/>
          <c:cat>
            <c:strRef>
              <c:f>K!$B$6:$B$12</c:f>
              <c:strCache>
                <c:ptCount val="6"/>
                <c:pt idx="0">
                  <c:v>A</c:v>
                </c:pt>
                <c:pt idx="1">
                  <c:v>B</c:v>
                </c:pt>
                <c:pt idx="2">
                  <c:v>C</c:v>
                </c:pt>
                <c:pt idx="3">
                  <c:v>D</c:v>
                </c:pt>
                <c:pt idx="4">
                  <c:v>E</c:v>
                </c:pt>
                <c:pt idx="5">
                  <c:v>F</c:v>
                </c:pt>
              </c:strCache>
            </c:strRef>
          </c:cat>
          <c:val>
            <c:numRef>
              <c:f>K!$G$6:$G$12</c:f>
              <c:numCache>
                <c:formatCode>General</c:formatCode>
                <c:ptCount val="6"/>
                <c:pt idx="0">
                  <c:v>5</c:v>
                </c:pt>
                <c:pt idx="1">
                  <c:v>5</c:v>
                </c:pt>
                <c:pt idx="2">
                  <c:v>4</c:v>
                </c:pt>
                <c:pt idx="3">
                  <c:v>5</c:v>
                </c:pt>
                <c:pt idx="4">
                  <c:v>3</c:v>
                </c:pt>
                <c:pt idx="5">
                  <c:v>3</c:v>
                </c:pt>
              </c:numCache>
            </c:numRef>
          </c:val>
          <c:extLst>
            <c:ext xmlns:c16="http://schemas.microsoft.com/office/drawing/2014/chart" uri="{C3380CC4-5D6E-409C-BE32-E72D297353CC}">
              <c16:uniqueId val="{0000000A-63EE-C640-AA02-8021239FD31D}"/>
            </c:ext>
          </c:extLst>
        </c:ser>
        <c:dLbls>
          <c:showLegendKey val="0"/>
          <c:showVal val="0"/>
          <c:showCatName val="0"/>
          <c:showSerName val="0"/>
          <c:showPercent val="0"/>
          <c:showBubbleSize val="0"/>
        </c:dLbls>
        <c:gapWidth val="219"/>
        <c:overlap val="100"/>
        <c:axId val="886364591"/>
        <c:axId val="903174687"/>
      </c:barChart>
      <c:catAx>
        <c:axId val="88636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3174687"/>
        <c:crosses val="autoZero"/>
        <c:auto val="1"/>
        <c:lblAlgn val="ctr"/>
        <c:lblOffset val="100"/>
        <c:noMultiLvlLbl val="0"/>
      </c:catAx>
      <c:valAx>
        <c:axId val="9031746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6364591"/>
        <c:crosses val="autoZero"/>
        <c:crossBetween val="between"/>
      </c:valAx>
      <c:spPr>
        <a:noFill/>
        <a:ln>
          <a:noFill/>
        </a:ln>
        <a:effectLst/>
      </c:spPr>
    </c:plotArea>
    <c:legend>
      <c:legendPos val="b"/>
      <c:layout>
        <c:manualLayout>
          <c:xMode val="edge"/>
          <c:yMode val="edge"/>
          <c:x val="0.11765909819309821"/>
          <c:y val="0.88573453658416346"/>
          <c:w val="0.7714606897811106"/>
          <c:h val="0.114265486369214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P!$B$30</c:f>
              <c:strCache>
                <c:ptCount val="1"/>
                <c:pt idx="0">
                  <c:v>schlecht</c:v>
                </c:pt>
              </c:strCache>
            </c:strRef>
          </c:tx>
          <c:spPr>
            <a:solidFill>
              <a:srgbClr val="FF0000">
                <a:alpha val="76000"/>
              </a:srgbClr>
            </a:solidFill>
            <a:ln>
              <a:noFill/>
            </a:ln>
            <a:effectLst/>
          </c:spPr>
          <c:invertIfNegative val="0"/>
          <c:val>
            <c:numRef>
              <c:f>P!$C$30</c:f>
              <c:numCache>
                <c:formatCode>0%</c:formatCode>
                <c:ptCount val="1"/>
                <c:pt idx="0">
                  <c:v>0.75</c:v>
                </c:pt>
              </c:numCache>
            </c:numRef>
          </c:val>
          <c:extLst>
            <c:ext xmlns:c16="http://schemas.microsoft.com/office/drawing/2014/chart" uri="{C3380CC4-5D6E-409C-BE32-E72D297353CC}">
              <c16:uniqueId val="{00000000-2AF6-3C4F-A41A-24ABAFC1D62C}"/>
            </c:ext>
          </c:extLst>
        </c:ser>
        <c:ser>
          <c:idx val="1"/>
          <c:order val="1"/>
          <c:tx>
            <c:strRef>
              <c:f>P!$B$31</c:f>
              <c:strCache>
                <c:ptCount val="1"/>
                <c:pt idx="0">
                  <c:v>ok</c:v>
                </c:pt>
              </c:strCache>
            </c:strRef>
          </c:tx>
          <c:spPr>
            <a:solidFill>
              <a:srgbClr val="FFC000"/>
            </a:solidFill>
            <a:ln>
              <a:noFill/>
            </a:ln>
            <a:effectLst/>
          </c:spPr>
          <c:invertIfNegative val="0"/>
          <c:val>
            <c:numRef>
              <c:f>P!$C$31</c:f>
              <c:numCache>
                <c:formatCode>0%</c:formatCode>
                <c:ptCount val="1"/>
                <c:pt idx="0">
                  <c:v>0.05</c:v>
                </c:pt>
              </c:numCache>
            </c:numRef>
          </c:val>
          <c:extLst>
            <c:ext xmlns:c16="http://schemas.microsoft.com/office/drawing/2014/chart" uri="{C3380CC4-5D6E-409C-BE32-E72D297353CC}">
              <c16:uniqueId val="{00000001-2AF6-3C4F-A41A-24ABAFC1D62C}"/>
            </c:ext>
          </c:extLst>
        </c:ser>
        <c:ser>
          <c:idx val="2"/>
          <c:order val="2"/>
          <c:tx>
            <c:strRef>
              <c:f>P!$B$32</c:f>
              <c:strCache>
                <c:ptCount val="1"/>
                <c:pt idx="0">
                  <c:v>gut</c:v>
                </c:pt>
              </c:strCache>
            </c:strRef>
          </c:tx>
          <c:spPr>
            <a:solidFill>
              <a:srgbClr val="92D050">
                <a:alpha val="61000"/>
              </a:srgbClr>
            </a:solidFill>
            <a:ln>
              <a:noFill/>
            </a:ln>
            <a:effectLst/>
          </c:spPr>
          <c:invertIfNegative val="0"/>
          <c:val>
            <c:numRef>
              <c:f>P!$C$32</c:f>
              <c:numCache>
                <c:formatCode>0%</c:formatCode>
                <c:ptCount val="1"/>
                <c:pt idx="0">
                  <c:v>0.1</c:v>
                </c:pt>
              </c:numCache>
            </c:numRef>
          </c:val>
          <c:extLst>
            <c:ext xmlns:c16="http://schemas.microsoft.com/office/drawing/2014/chart" uri="{C3380CC4-5D6E-409C-BE32-E72D297353CC}">
              <c16:uniqueId val="{00000002-2AF6-3C4F-A41A-24ABAFC1D62C}"/>
            </c:ext>
          </c:extLst>
        </c:ser>
        <c:ser>
          <c:idx val="3"/>
          <c:order val="3"/>
          <c:tx>
            <c:strRef>
              <c:f>P!$B$33</c:f>
              <c:strCache>
                <c:ptCount val="1"/>
                <c:pt idx="0">
                  <c:v>perfekt</c:v>
                </c:pt>
              </c:strCache>
            </c:strRef>
          </c:tx>
          <c:spPr>
            <a:solidFill>
              <a:srgbClr val="00B050">
                <a:alpha val="57000"/>
              </a:srgbClr>
            </a:solidFill>
            <a:ln>
              <a:noFill/>
            </a:ln>
            <a:effectLst/>
          </c:spPr>
          <c:invertIfNegative val="0"/>
          <c:dPt>
            <c:idx val="0"/>
            <c:invertIfNegative val="0"/>
            <c:bubble3D val="0"/>
            <c:spPr>
              <a:solidFill>
                <a:srgbClr val="0C5D2D">
                  <a:alpha val="57000"/>
                </a:srgbClr>
              </a:solidFill>
              <a:ln>
                <a:noFill/>
              </a:ln>
              <a:effectLst/>
            </c:spPr>
            <c:extLst>
              <c:ext xmlns:c16="http://schemas.microsoft.com/office/drawing/2014/chart" uri="{C3380CC4-5D6E-409C-BE32-E72D297353CC}">
                <c16:uniqueId val="{00000006-2AF6-3C4F-A41A-24ABAFC1D62C}"/>
              </c:ext>
            </c:extLst>
          </c:dPt>
          <c:val>
            <c:numRef>
              <c:f>P!$C$33</c:f>
              <c:numCache>
                <c:formatCode>0%</c:formatCode>
                <c:ptCount val="1"/>
                <c:pt idx="0">
                  <c:v>0.1</c:v>
                </c:pt>
              </c:numCache>
            </c:numRef>
          </c:val>
          <c:extLst>
            <c:ext xmlns:c16="http://schemas.microsoft.com/office/drawing/2014/chart" uri="{C3380CC4-5D6E-409C-BE32-E72D297353CC}">
              <c16:uniqueId val="{00000003-2AF6-3C4F-A41A-24ABAFC1D62C}"/>
            </c:ext>
          </c:extLst>
        </c:ser>
        <c:dLbls>
          <c:showLegendKey val="0"/>
          <c:showVal val="0"/>
          <c:showCatName val="0"/>
          <c:showSerName val="0"/>
          <c:showPercent val="0"/>
          <c:showBubbleSize val="0"/>
        </c:dLbls>
        <c:gapWidth val="150"/>
        <c:overlap val="100"/>
        <c:axId val="991120751"/>
        <c:axId val="958490159"/>
      </c:barChart>
      <c:barChart>
        <c:barDir val="col"/>
        <c:grouping val="stacked"/>
        <c:varyColors val="0"/>
        <c:ser>
          <c:idx val="4"/>
          <c:order val="4"/>
          <c:tx>
            <c:strRef>
              <c:f>P!$B$34</c:f>
              <c:strCache>
                <c:ptCount val="1"/>
                <c:pt idx="0">
                  <c:v>IST Wert</c:v>
                </c:pt>
              </c:strCache>
            </c:strRef>
          </c:tx>
          <c:spPr>
            <a:solidFill>
              <a:schemeClr val="bg2">
                <a:lumMod val="75000"/>
                <a:alpha val="79000"/>
              </a:schemeClr>
            </a:solidFill>
            <a:ln>
              <a:noFill/>
            </a:ln>
            <a:effectLst/>
          </c:spPr>
          <c:invertIfNegative val="0"/>
          <c:val>
            <c:numRef>
              <c:f>P!$C$34</c:f>
              <c:numCache>
                <c:formatCode>0%</c:formatCode>
                <c:ptCount val="1"/>
                <c:pt idx="0">
                  <c:v>0.63207547169811318</c:v>
                </c:pt>
              </c:numCache>
            </c:numRef>
          </c:val>
          <c:extLst>
            <c:ext xmlns:c16="http://schemas.microsoft.com/office/drawing/2014/chart" uri="{C3380CC4-5D6E-409C-BE32-E72D297353CC}">
              <c16:uniqueId val="{00000004-2AF6-3C4F-A41A-24ABAFC1D62C}"/>
            </c:ext>
          </c:extLst>
        </c:ser>
        <c:dLbls>
          <c:showLegendKey val="0"/>
          <c:showVal val="0"/>
          <c:showCatName val="0"/>
          <c:showSerName val="0"/>
          <c:showPercent val="0"/>
          <c:showBubbleSize val="0"/>
        </c:dLbls>
        <c:gapWidth val="358"/>
        <c:overlap val="100"/>
        <c:axId val="1138051343"/>
        <c:axId val="1170808863"/>
      </c:barChart>
      <c:lineChart>
        <c:grouping val="standard"/>
        <c:varyColors val="0"/>
        <c:ser>
          <c:idx val="5"/>
          <c:order val="5"/>
          <c:tx>
            <c:strRef>
              <c:f>P!$B$35</c:f>
              <c:strCache>
                <c:ptCount val="1"/>
                <c:pt idx="0">
                  <c:v>Ziel</c:v>
                </c:pt>
              </c:strCache>
            </c:strRef>
          </c:tx>
          <c:spPr>
            <a:ln w="28575" cap="rnd">
              <a:solidFill>
                <a:schemeClr val="accent6"/>
              </a:solidFill>
              <a:round/>
            </a:ln>
            <a:effectLst/>
          </c:spPr>
          <c:marker>
            <c:symbol val="dash"/>
            <c:size val="30"/>
            <c:spPr>
              <a:solidFill>
                <a:schemeClr val="tx1"/>
              </a:solidFill>
              <a:ln w="9525">
                <a:noFill/>
              </a:ln>
              <a:effectLst/>
            </c:spPr>
          </c:marker>
          <c:val>
            <c:numRef>
              <c:f>P!$C$35</c:f>
              <c:numCache>
                <c:formatCode>0%</c:formatCode>
                <c:ptCount val="1"/>
                <c:pt idx="0">
                  <c:v>0.97</c:v>
                </c:pt>
              </c:numCache>
            </c:numRef>
          </c:val>
          <c:smooth val="0"/>
          <c:extLst>
            <c:ext xmlns:c16="http://schemas.microsoft.com/office/drawing/2014/chart" uri="{C3380CC4-5D6E-409C-BE32-E72D297353CC}">
              <c16:uniqueId val="{00000005-2AF6-3C4F-A41A-24ABAFC1D62C}"/>
            </c:ext>
          </c:extLst>
        </c:ser>
        <c:dLbls>
          <c:showLegendKey val="0"/>
          <c:showVal val="0"/>
          <c:showCatName val="0"/>
          <c:showSerName val="0"/>
          <c:showPercent val="0"/>
          <c:showBubbleSize val="0"/>
        </c:dLbls>
        <c:marker val="1"/>
        <c:smooth val="0"/>
        <c:axId val="1138051343"/>
        <c:axId val="1170808863"/>
      </c:lineChart>
      <c:catAx>
        <c:axId val="991120751"/>
        <c:scaling>
          <c:orientation val="minMax"/>
        </c:scaling>
        <c:delete val="1"/>
        <c:axPos val="b"/>
        <c:numFmt formatCode="General" sourceLinked="1"/>
        <c:majorTickMark val="none"/>
        <c:minorTickMark val="none"/>
        <c:tickLblPos val="nextTo"/>
        <c:crossAx val="958490159"/>
        <c:crosses val="autoZero"/>
        <c:auto val="1"/>
        <c:lblAlgn val="ctr"/>
        <c:lblOffset val="100"/>
        <c:noMultiLvlLbl val="0"/>
      </c:catAx>
      <c:valAx>
        <c:axId val="958490159"/>
        <c:scaling>
          <c:orientation val="minMax"/>
        </c:scaling>
        <c:delete val="0"/>
        <c:axPos val="l"/>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991120751"/>
        <c:crosses val="autoZero"/>
        <c:crossBetween val="between"/>
      </c:valAx>
      <c:valAx>
        <c:axId val="1170808863"/>
        <c:scaling>
          <c:orientation val="minMax"/>
        </c:scaling>
        <c:delete val="1"/>
        <c:axPos val="r"/>
        <c:numFmt formatCode="0%" sourceLinked="1"/>
        <c:majorTickMark val="out"/>
        <c:minorTickMark val="none"/>
        <c:tickLblPos val="nextTo"/>
        <c:crossAx val="1138051343"/>
        <c:crosses val="max"/>
        <c:crossBetween val="between"/>
      </c:valAx>
      <c:catAx>
        <c:axId val="1138051343"/>
        <c:scaling>
          <c:orientation val="minMax"/>
        </c:scaling>
        <c:delete val="1"/>
        <c:axPos val="b"/>
        <c:majorTickMark val="out"/>
        <c:minorTickMark val="none"/>
        <c:tickLblPos val="nextTo"/>
        <c:crossAx val="11708088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P!$E$30</c:f>
              <c:strCache>
                <c:ptCount val="1"/>
                <c:pt idx="0">
                  <c:v>perfekt</c:v>
                </c:pt>
              </c:strCache>
            </c:strRef>
          </c:tx>
          <c:spPr>
            <a:solidFill>
              <a:srgbClr val="0C5D2D">
                <a:alpha val="86000"/>
              </a:srgbClr>
            </a:solidFill>
            <a:ln>
              <a:noFill/>
            </a:ln>
            <a:effectLst/>
          </c:spPr>
          <c:invertIfNegative val="0"/>
          <c:val>
            <c:numRef>
              <c:f>P!$F$30</c:f>
              <c:numCache>
                <c:formatCode>0%</c:formatCode>
                <c:ptCount val="1"/>
                <c:pt idx="0">
                  <c:v>0.01</c:v>
                </c:pt>
              </c:numCache>
            </c:numRef>
          </c:val>
          <c:extLst>
            <c:ext xmlns:c16="http://schemas.microsoft.com/office/drawing/2014/chart" uri="{C3380CC4-5D6E-409C-BE32-E72D297353CC}">
              <c16:uniqueId val="{00000000-172F-1147-9E31-CAC672AFE1CA}"/>
            </c:ext>
          </c:extLst>
        </c:ser>
        <c:ser>
          <c:idx val="1"/>
          <c:order val="1"/>
          <c:tx>
            <c:strRef>
              <c:f>P!$E$31</c:f>
              <c:strCache>
                <c:ptCount val="1"/>
                <c:pt idx="0">
                  <c:v>gut</c:v>
                </c:pt>
              </c:strCache>
            </c:strRef>
          </c:tx>
          <c:spPr>
            <a:solidFill>
              <a:srgbClr val="92D050">
                <a:alpha val="86000"/>
              </a:srgbClr>
            </a:solidFill>
            <a:ln>
              <a:noFill/>
            </a:ln>
            <a:effectLst/>
          </c:spPr>
          <c:invertIfNegative val="0"/>
          <c:val>
            <c:numRef>
              <c:f>P!$F$31</c:f>
              <c:numCache>
                <c:formatCode>0%</c:formatCode>
                <c:ptCount val="1"/>
                <c:pt idx="0">
                  <c:v>0.02</c:v>
                </c:pt>
              </c:numCache>
            </c:numRef>
          </c:val>
          <c:extLst>
            <c:ext xmlns:c16="http://schemas.microsoft.com/office/drawing/2014/chart" uri="{C3380CC4-5D6E-409C-BE32-E72D297353CC}">
              <c16:uniqueId val="{00000001-172F-1147-9E31-CAC672AFE1CA}"/>
            </c:ext>
          </c:extLst>
        </c:ser>
        <c:ser>
          <c:idx val="2"/>
          <c:order val="2"/>
          <c:tx>
            <c:strRef>
              <c:f>P!$E$32</c:f>
              <c:strCache>
                <c:ptCount val="1"/>
                <c:pt idx="0">
                  <c:v>ok</c:v>
                </c:pt>
              </c:strCache>
            </c:strRef>
          </c:tx>
          <c:spPr>
            <a:solidFill>
              <a:srgbClr val="FFC000">
                <a:alpha val="87000"/>
              </a:srgbClr>
            </a:solidFill>
            <a:ln>
              <a:noFill/>
            </a:ln>
            <a:effectLst/>
          </c:spPr>
          <c:invertIfNegative val="0"/>
          <c:val>
            <c:numRef>
              <c:f>P!$F$32</c:f>
              <c:numCache>
                <c:formatCode>0%</c:formatCode>
                <c:ptCount val="1"/>
                <c:pt idx="0">
                  <c:v>0.03</c:v>
                </c:pt>
              </c:numCache>
            </c:numRef>
          </c:val>
          <c:extLst>
            <c:ext xmlns:c16="http://schemas.microsoft.com/office/drawing/2014/chart" uri="{C3380CC4-5D6E-409C-BE32-E72D297353CC}">
              <c16:uniqueId val="{00000002-172F-1147-9E31-CAC672AFE1CA}"/>
            </c:ext>
          </c:extLst>
        </c:ser>
        <c:ser>
          <c:idx val="3"/>
          <c:order val="3"/>
          <c:tx>
            <c:strRef>
              <c:f>P!$E$33</c:f>
              <c:strCache>
                <c:ptCount val="1"/>
                <c:pt idx="0">
                  <c:v>schlecht</c:v>
                </c:pt>
              </c:strCache>
            </c:strRef>
          </c:tx>
          <c:spPr>
            <a:solidFill>
              <a:srgbClr val="FF0000">
                <a:alpha val="81000"/>
              </a:srgbClr>
            </a:solidFill>
            <a:ln>
              <a:noFill/>
            </a:ln>
            <a:effectLst/>
          </c:spPr>
          <c:invertIfNegative val="0"/>
          <c:val>
            <c:numRef>
              <c:f>P!$F$33</c:f>
              <c:numCache>
                <c:formatCode>0%</c:formatCode>
                <c:ptCount val="1"/>
                <c:pt idx="0">
                  <c:v>0.03</c:v>
                </c:pt>
              </c:numCache>
            </c:numRef>
          </c:val>
          <c:extLst>
            <c:ext xmlns:c16="http://schemas.microsoft.com/office/drawing/2014/chart" uri="{C3380CC4-5D6E-409C-BE32-E72D297353CC}">
              <c16:uniqueId val="{00000005-172F-1147-9E31-CAC672AFE1CA}"/>
            </c:ext>
          </c:extLst>
        </c:ser>
        <c:dLbls>
          <c:showLegendKey val="0"/>
          <c:showVal val="0"/>
          <c:showCatName val="0"/>
          <c:showSerName val="0"/>
          <c:showPercent val="0"/>
          <c:showBubbleSize val="0"/>
        </c:dLbls>
        <c:gapWidth val="99"/>
        <c:overlap val="100"/>
        <c:axId val="991120751"/>
        <c:axId val="958490159"/>
      </c:barChart>
      <c:barChart>
        <c:barDir val="col"/>
        <c:grouping val="stacked"/>
        <c:varyColors val="0"/>
        <c:ser>
          <c:idx val="4"/>
          <c:order val="4"/>
          <c:tx>
            <c:strRef>
              <c:f>P!$E$34</c:f>
              <c:strCache>
                <c:ptCount val="1"/>
                <c:pt idx="0">
                  <c:v>IST Wert</c:v>
                </c:pt>
              </c:strCache>
            </c:strRef>
          </c:tx>
          <c:spPr>
            <a:solidFill>
              <a:schemeClr val="accent5"/>
            </a:solidFill>
            <a:ln>
              <a:noFill/>
            </a:ln>
            <a:effectLst/>
          </c:spPr>
          <c:invertIfNegative val="0"/>
          <c:dPt>
            <c:idx val="0"/>
            <c:invertIfNegative val="0"/>
            <c:bubble3D val="0"/>
            <c:spPr>
              <a:solidFill>
                <a:schemeClr val="bg1">
                  <a:lumMod val="75000"/>
                  <a:alpha val="81000"/>
                </a:schemeClr>
              </a:solidFill>
              <a:ln>
                <a:noFill/>
              </a:ln>
              <a:effectLst/>
            </c:spPr>
            <c:extLst>
              <c:ext xmlns:c16="http://schemas.microsoft.com/office/drawing/2014/chart" uri="{C3380CC4-5D6E-409C-BE32-E72D297353CC}">
                <c16:uniqueId val="{00000009-172F-1147-9E31-CAC672AFE1CA}"/>
              </c:ext>
            </c:extLst>
          </c:dPt>
          <c:val>
            <c:numRef>
              <c:f>P!$F$34</c:f>
              <c:numCache>
                <c:formatCode>0%</c:formatCode>
                <c:ptCount val="1"/>
                <c:pt idx="0">
                  <c:v>3.3018867924528301E-2</c:v>
                </c:pt>
              </c:numCache>
            </c:numRef>
          </c:val>
          <c:extLst>
            <c:ext xmlns:c16="http://schemas.microsoft.com/office/drawing/2014/chart" uri="{C3380CC4-5D6E-409C-BE32-E72D297353CC}">
              <c16:uniqueId val="{00000006-172F-1147-9E31-CAC672AFE1CA}"/>
            </c:ext>
          </c:extLst>
        </c:ser>
        <c:dLbls>
          <c:showLegendKey val="0"/>
          <c:showVal val="0"/>
          <c:showCatName val="0"/>
          <c:showSerName val="0"/>
          <c:showPercent val="0"/>
          <c:showBubbleSize val="0"/>
        </c:dLbls>
        <c:gapWidth val="308"/>
        <c:overlap val="100"/>
        <c:axId val="1138051343"/>
        <c:axId val="1170808863"/>
      </c:barChart>
      <c:lineChart>
        <c:grouping val="standard"/>
        <c:varyColors val="0"/>
        <c:ser>
          <c:idx val="5"/>
          <c:order val="5"/>
          <c:tx>
            <c:strRef>
              <c:f>P!$E$35</c:f>
              <c:strCache>
                <c:ptCount val="1"/>
                <c:pt idx="0">
                  <c:v>Ziel</c:v>
                </c:pt>
              </c:strCache>
            </c:strRef>
          </c:tx>
          <c:spPr>
            <a:ln w="28575" cap="rnd">
              <a:noFill/>
              <a:round/>
            </a:ln>
            <a:effectLst/>
          </c:spPr>
          <c:marker>
            <c:symbol val="dash"/>
            <c:size val="30"/>
            <c:spPr>
              <a:solidFill>
                <a:schemeClr val="tx1"/>
              </a:solidFill>
              <a:ln w="9525">
                <a:noFill/>
              </a:ln>
              <a:effectLst/>
            </c:spPr>
          </c:marker>
          <c:dPt>
            <c:idx val="0"/>
            <c:marker>
              <c:symbol val="dash"/>
              <c:size val="30"/>
              <c:spPr>
                <a:solidFill>
                  <a:schemeClr val="tx1"/>
                </a:solidFill>
                <a:ln w="9525">
                  <a:noFill/>
                </a:ln>
                <a:effectLst/>
              </c:spPr>
            </c:marker>
            <c:bubble3D val="0"/>
            <c:spPr>
              <a:ln w="28575" cap="rnd">
                <a:noFill/>
                <a:round/>
              </a:ln>
              <a:effectLst/>
            </c:spPr>
            <c:extLst>
              <c:ext xmlns:c16="http://schemas.microsoft.com/office/drawing/2014/chart" uri="{C3380CC4-5D6E-409C-BE32-E72D297353CC}">
                <c16:uniqueId val="{0000000A-172F-1147-9E31-CAC672AFE1CA}"/>
              </c:ext>
            </c:extLst>
          </c:dPt>
          <c:val>
            <c:numRef>
              <c:f>P!$F$35</c:f>
              <c:numCache>
                <c:formatCode>0%</c:formatCode>
                <c:ptCount val="1"/>
                <c:pt idx="0">
                  <c:v>0.03</c:v>
                </c:pt>
              </c:numCache>
            </c:numRef>
          </c:val>
          <c:smooth val="0"/>
          <c:extLst>
            <c:ext xmlns:c16="http://schemas.microsoft.com/office/drawing/2014/chart" uri="{C3380CC4-5D6E-409C-BE32-E72D297353CC}">
              <c16:uniqueId val="{00000008-172F-1147-9E31-CAC672AFE1CA}"/>
            </c:ext>
          </c:extLst>
        </c:ser>
        <c:dLbls>
          <c:showLegendKey val="0"/>
          <c:showVal val="0"/>
          <c:showCatName val="0"/>
          <c:showSerName val="0"/>
          <c:showPercent val="0"/>
          <c:showBubbleSize val="0"/>
        </c:dLbls>
        <c:marker val="1"/>
        <c:smooth val="0"/>
        <c:axId val="1138051343"/>
        <c:axId val="1170808863"/>
      </c:lineChart>
      <c:catAx>
        <c:axId val="991120751"/>
        <c:scaling>
          <c:orientation val="minMax"/>
        </c:scaling>
        <c:delete val="1"/>
        <c:axPos val="b"/>
        <c:numFmt formatCode="General" sourceLinked="1"/>
        <c:majorTickMark val="none"/>
        <c:minorTickMark val="none"/>
        <c:tickLblPos val="nextTo"/>
        <c:crossAx val="958490159"/>
        <c:crosses val="autoZero"/>
        <c:auto val="1"/>
        <c:lblAlgn val="ctr"/>
        <c:lblOffset val="100"/>
        <c:noMultiLvlLbl val="0"/>
      </c:catAx>
      <c:valAx>
        <c:axId val="958490159"/>
        <c:scaling>
          <c:orientation val="minMax"/>
        </c:scaling>
        <c:delete val="0"/>
        <c:axPos val="l"/>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991120751"/>
        <c:crosses val="autoZero"/>
        <c:crossBetween val="between"/>
      </c:valAx>
      <c:valAx>
        <c:axId val="1170808863"/>
        <c:scaling>
          <c:orientation val="minMax"/>
        </c:scaling>
        <c:delete val="1"/>
        <c:axPos val="r"/>
        <c:numFmt formatCode="0%" sourceLinked="1"/>
        <c:majorTickMark val="out"/>
        <c:minorTickMark val="none"/>
        <c:tickLblPos val="nextTo"/>
        <c:crossAx val="1138051343"/>
        <c:crosses val="max"/>
        <c:crossBetween val="between"/>
      </c:valAx>
      <c:catAx>
        <c:axId val="1138051343"/>
        <c:scaling>
          <c:orientation val="minMax"/>
        </c:scaling>
        <c:delete val="1"/>
        <c:axPos val="b"/>
        <c:majorTickMark val="out"/>
        <c:minorTickMark val="none"/>
        <c:tickLblPos val="nextTo"/>
        <c:crossAx val="11708088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[Dashboard.xlsx]F!PivotTable5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21726646420865E-2"/>
          <c:y val="9.2929278635478132E-2"/>
          <c:w val="0.88144175679085912"/>
          <c:h val="0.80142174481125794"/>
        </c:manualLayout>
      </c:layout>
      <c:barChart>
        <c:barDir val="col"/>
        <c:grouping val="clustered"/>
        <c:varyColors val="0"/>
        <c:ser>
          <c:idx val="0"/>
          <c:order val="0"/>
          <c:tx>
            <c:strRef>
              <c:f>F!$B$1</c:f>
              <c:strCache>
                <c:ptCount val="1"/>
                <c:pt idx="0">
                  <c:v>Summe von Umsatz Plan</c:v>
                </c:pt>
              </c:strCache>
            </c:strRef>
          </c:tx>
          <c:spPr>
            <a:solidFill>
              <a:schemeClr val="tx1"/>
            </a:solidFill>
            <a:ln>
              <a:noFill/>
            </a:ln>
            <a:effectLst/>
          </c:spPr>
          <c:invertIfNegative val="0"/>
          <c:cat>
            <c:strRef>
              <c:f>F!$A$2:$A$14</c:f>
              <c:strCache>
                <c:ptCount val="12"/>
                <c:pt idx="0">
                  <c:v>Jan</c:v>
                </c:pt>
                <c:pt idx="1">
                  <c:v>Feb</c:v>
                </c:pt>
                <c:pt idx="2">
                  <c:v>Mär</c:v>
                </c:pt>
                <c:pt idx="3">
                  <c:v>Apr</c:v>
                </c:pt>
                <c:pt idx="4">
                  <c:v>Mai</c:v>
                </c:pt>
                <c:pt idx="5">
                  <c:v>Jun</c:v>
                </c:pt>
                <c:pt idx="6">
                  <c:v>Jul</c:v>
                </c:pt>
                <c:pt idx="7">
                  <c:v>Aug</c:v>
                </c:pt>
                <c:pt idx="8">
                  <c:v>Sep</c:v>
                </c:pt>
                <c:pt idx="9">
                  <c:v>Okt</c:v>
                </c:pt>
                <c:pt idx="10">
                  <c:v>Nov</c:v>
                </c:pt>
                <c:pt idx="11">
                  <c:v>Dez</c:v>
                </c:pt>
              </c:strCache>
            </c:strRef>
          </c:cat>
          <c:val>
            <c:numRef>
              <c:f>F!$B$2:$B$14</c:f>
              <c:numCache>
                <c:formatCode>General</c:formatCode>
                <c:ptCount val="12"/>
                <c:pt idx="0">
                  <c:v>171848</c:v>
                </c:pt>
                <c:pt idx="1">
                  <c:v>152827</c:v>
                </c:pt>
                <c:pt idx="2">
                  <c:v>171512</c:v>
                </c:pt>
                <c:pt idx="3">
                  <c:v>184744</c:v>
                </c:pt>
                <c:pt idx="4">
                  <c:v>179742</c:v>
                </c:pt>
                <c:pt idx="5">
                  <c:v>147947</c:v>
                </c:pt>
                <c:pt idx="6">
                  <c:v>172954</c:v>
                </c:pt>
                <c:pt idx="7">
                  <c:v>168308</c:v>
                </c:pt>
                <c:pt idx="8">
                  <c:v>175815</c:v>
                </c:pt>
                <c:pt idx="9">
                  <c:v>172159</c:v>
                </c:pt>
                <c:pt idx="10">
                  <c:v>172401</c:v>
                </c:pt>
                <c:pt idx="11">
                  <c:v>175167</c:v>
                </c:pt>
              </c:numCache>
            </c:numRef>
          </c:val>
          <c:extLst>
            <c:ext xmlns:c16="http://schemas.microsoft.com/office/drawing/2014/chart" uri="{C3380CC4-5D6E-409C-BE32-E72D297353CC}">
              <c16:uniqueId val="{00000000-B7FF-4542-89DA-00ADE81E78DA}"/>
            </c:ext>
          </c:extLst>
        </c:ser>
        <c:dLbls>
          <c:showLegendKey val="0"/>
          <c:showVal val="0"/>
          <c:showCatName val="0"/>
          <c:showSerName val="0"/>
          <c:showPercent val="0"/>
          <c:showBubbleSize val="0"/>
        </c:dLbls>
        <c:gapWidth val="219"/>
        <c:axId val="1516114416"/>
        <c:axId val="1515500992"/>
      </c:barChart>
      <c:lineChart>
        <c:grouping val="standard"/>
        <c:varyColors val="0"/>
        <c:ser>
          <c:idx val="1"/>
          <c:order val="1"/>
          <c:tx>
            <c:strRef>
              <c:f>F!$C$1</c:f>
              <c:strCache>
                <c:ptCount val="1"/>
                <c:pt idx="0">
                  <c:v>Summe von Umsatz IST</c:v>
                </c:pt>
              </c:strCache>
            </c:strRef>
          </c:tx>
          <c:spPr>
            <a:ln w="28575" cap="rnd">
              <a:solidFill>
                <a:schemeClr val="accent2"/>
              </a:solidFill>
              <a:round/>
            </a:ln>
            <a:effectLst/>
          </c:spPr>
          <c:marker>
            <c:symbol val="none"/>
          </c:marker>
          <c:cat>
            <c:strRef>
              <c:f>F!$A$2:$A$14</c:f>
              <c:strCache>
                <c:ptCount val="12"/>
                <c:pt idx="0">
                  <c:v>Jan</c:v>
                </c:pt>
                <c:pt idx="1">
                  <c:v>Feb</c:v>
                </c:pt>
                <c:pt idx="2">
                  <c:v>Mär</c:v>
                </c:pt>
                <c:pt idx="3">
                  <c:v>Apr</c:v>
                </c:pt>
                <c:pt idx="4">
                  <c:v>Mai</c:v>
                </c:pt>
                <c:pt idx="5">
                  <c:v>Jun</c:v>
                </c:pt>
                <c:pt idx="6">
                  <c:v>Jul</c:v>
                </c:pt>
                <c:pt idx="7">
                  <c:v>Aug</c:v>
                </c:pt>
                <c:pt idx="8">
                  <c:v>Sep</c:v>
                </c:pt>
                <c:pt idx="9">
                  <c:v>Okt</c:v>
                </c:pt>
                <c:pt idx="10">
                  <c:v>Nov</c:v>
                </c:pt>
                <c:pt idx="11">
                  <c:v>Dez</c:v>
                </c:pt>
              </c:strCache>
            </c:strRef>
          </c:cat>
          <c:val>
            <c:numRef>
              <c:f>F!$C$2:$C$14</c:f>
              <c:numCache>
                <c:formatCode>General</c:formatCode>
                <c:ptCount val="12"/>
                <c:pt idx="0">
                  <c:v>151819</c:v>
                </c:pt>
                <c:pt idx="1">
                  <c:v>166902</c:v>
                </c:pt>
                <c:pt idx="2">
                  <c:v>165159</c:v>
                </c:pt>
                <c:pt idx="3">
                  <c:v>183740</c:v>
                </c:pt>
                <c:pt idx="4">
                  <c:v>162413</c:v>
                </c:pt>
                <c:pt idx="5">
                  <c:v>167764</c:v>
                </c:pt>
                <c:pt idx="6">
                  <c:v>181166</c:v>
                </c:pt>
              </c:numCache>
            </c:numRef>
          </c:val>
          <c:smooth val="0"/>
          <c:extLst>
            <c:ext xmlns:c16="http://schemas.microsoft.com/office/drawing/2014/chart" uri="{C3380CC4-5D6E-409C-BE32-E72D297353CC}">
              <c16:uniqueId val="{00000001-B7FF-4542-89DA-00ADE81E78DA}"/>
            </c:ext>
          </c:extLst>
        </c:ser>
        <c:dLbls>
          <c:showLegendKey val="0"/>
          <c:showVal val="0"/>
          <c:showCatName val="0"/>
          <c:showSerName val="0"/>
          <c:showPercent val="0"/>
          <c:showBubbleSize val="0"/>
        </c:dLbls>
        <c:marker val="1"/>
        <c:smooth val="0"/>
        <c:axId val="1516114416"/>
        <c:axId val="1515500992"/>
      </c:lineChart>
      <c:catAx>
        <c:axId val="151611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515500992"/>
        <c:crosses val="autoZero"/>
        <c:auto val="1"/>
        <c:lblAlgn val="ctr"/>
        <c:lblOffset val="100"/>
        <c:noMultiLvlLbl val="0"/>
      </c:catAx>
      <c:valAx>
        <c:axId val="151550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51611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dist="50800" dir="5400000" sx="1000" sy="1000" algn="ctr" rotWithShape="0">
        <a:srgbClr val="000000"/>
      </a:outerShdw>
    </a:effectLst>
  </c:spPr>
  <c:txPr>
    <a:bodyPr/>
    <a:lstStyle/>
    <a:p>
      <a:pPr>
        <a:defRPr>
          <a:solidFill>
            <a:schemeClr val="tx1"/>
          </a:solidFill>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P!$B$30</c:f>
              <c:strCache>
                <c:ptCount val="1"/>
                <c:pt idx="0">
                  <c:v>schlecht</c:v>
                </c:pt>
              </c:strCache>
            </c:strRef>
          </c:tx>
          <c:spPr>
            <a:solidFill>
              <a:srgbClr val="FF0000">
                <a:alpha val="76000"/>
              </a:srgbClr>
            </a:solidFill>
            <a:ln>
              <a:noFill/>
            </a:ln>
            <a:effectLst/>
          </c:spPr>
          <c:invertIfNegative val="0"/>
          <c:val>
            <c:numRef>
              <c:f>P!$C$30</c:f>
              <c:numCache>
                <c:formatCode>0%</c:formatCode>
                <c:ptCount val="1"/>
                <c:pt idx="0">
                  <c:v>0.75</c:v>
                </c:pt>
              </c:numCache>
            </c:numRef>
          </c:val>
          <c:extLst>
            <c:ext xmlns:c16="http://schemas.microsoft.com/office/drawing/2014/chart" uri="{C3380CC4-5D6E-409C-BE32-E72D297353CC}">
              <c16:uniqueId val="{00000000-82B2-114A-949F-C393590C37A7}"/>
            </c:ext>
          </c:extLst>
        </c:ser>
        <c:ser>
          <c:idx val="1"/>
          <c:order val="1"/>
          <c:tx>
            <c:strRef>
              <c:f>P!$B$31</c:f>
              <c:strCache>
                <c:ptCount val="1"/>
                <c:pt idx="0">
                  <c:v>ok</c:v>
                </c:pt>
              </c:strCache>
            </c:strRef>
          </c:tx>
          <c:spPr>
            <a:solidFill>
              <a:srgbClr val="FFC000"/>
            </a:solidFill>
            <a:ln>
              <a:noFill/>
            </a:ln>
            <a:effectLst/>
          </c:spPr>
          <c:invertIfNegative val="0"/>
          <c:val>
            <c:numRef>
              <c:f>P!$C$31</c:f>
              <c:numCache>
                <c:formatCode>0%</c:formatCode>
                <c:ptCount val="1"/>
                <c:pt idx="0">
                  <c:v>0.05</c:v>
                </c:pt>
              </c:numCache>
            </c:numRef>
          </c:val>
          <c:extLst>
            <c:ext xmlns:c16="http://schemas.microsoft.com/office/drawing/2014/chart" uri="{C3380CC4-5D6E-409C-BE32-E72D297353CC}">
              <c16:uniqueId val="{00000001-82B2-114A-949F-C393590C37A7}"/>
            </c:ext>
          </c:extLst>
        </c:ser>
        <c:ser>
          <c:idx val="2"/>
          <c:order val="2"/>
          <c:tx>
            <c:strRef>
              <c:f>P!$B$32</c:f>
              <c:strCache>
                <c:ptCount val="1"/>
                <c:pt idx="0">
                  <c:v>gut</c:v>
                </c:pt>
              </c:strCache>
            </c:strRef>
          </c:tx>
          <c:spPr>
            <a:solidFill>
              <a:srgbClr val="92D050">
                <a:alpha val="61000"/>
              </a:srgbClr>
            </a:solidFill>
            <a:ln>
              <a:noFill/>
            </a:ln>
            <a:effectLst/>
          </c:spPr>
          <c:invertIfNegative val="0"/>
          <c:val>
            <c:numRef>
              <c:f>P!$C$32</c:f>
              <c:numCache>
                <c:formatCode>0%</c:formatCode>
                <c:ptCount val="1"/>
                <c:pt idx="0">
                  <c:v>0.1</c:v>
                </c:pt>
              </c:numCache>
            </c:numRef>
          </c:val>
          <c:extLst>
            <c:ext xmlns:c16="http://schemas.microsoft.com/office/drawing/2014/chart" uri="{C3380CC4-5D6E-409C-BE32-E72D297353CC}">
              <c16:uniqueId val="{00000002-82B2-114A-949F-C393590C37A7}"/>
            </c:ext>
          </c:extLst>
        </c:ser>
        <c:ser>
          <c:idx val="3"/>
          <c:order val="3"/>
          <c:tx>
            <c:strRef>
              <c:f>P!$B$33</c:f>
              <c:strCache>
                <c:ptCount val="1"/>
                <c:pt idx="0">
                  <c:v>perfekt</c:v>
                </c:pt>
              </c:strCache>
            </c:strRef>
          </c:tx>
          <c:spPr>
            <a:solidFill>
              <a:srgbClr val="00B050">
                <a:alpha val="57000"/>
              </a:srgbClr>
            </a:solidFill>
            <a:ln>
              <a:noFill/>
            </a:ln>
            <a:effectLst/>
          </c:spPr>
          <c:invertIfNegative val="0"/>
          <c:dPt>
            <c:idx val="0"/>
            <c:invertIfNegative val="0"/>
            <c:bubble3D val="0"/>
            <c:spPr>
              <a:solidFill>
                <a:srgbClr val="0C5D2D">
                  <a:alpha val="57000"/>
                </a:srgbClr>
              </a:solidFill>
              <a:ln>
                <a:noFill/>
              </a:ln>
              <a:effectLst/>
            </c:spPr>
            <c:extLst>
              <c:ext xmlns:c16="http://schemas.microsoft.com/office/drawing/2014/chart" uri="{C3380CC4-5D6E-409C-BE32-E72D297353CC}">
                <c16:uniqueId val="{00000004-82B2-114A-949F-C393590C37A7}"/>
              </c:ext>
            </c:extLst>
          </c:dPt>
          <c:val>
            <c:numRef>
              <c:f>P!$C$33</c:f>
              <c:numCache>
                <c:formatCode>0%</c:formatCode>
                <c:ptCount val="1"/>
                <c:pt idx="0">
                  <c:v>0.1</c:v>
                </c:pt>
              </c:numCache>
            </c:numRef>
          </c:val>
          <c:extLst>
            <c:ext xmlns:c16="http://schemas.microsoft.com/office/drawing/2014/chart" uri="{C3380CC4-5D6E-409C-BE32-E72D297353CC}">
              <c16:uniqueId val="{00000005-82B2-114A-949F-C393590C37A7}"/>
            </c:ext>
          </c:extLst>
        </c:ser>
        <c:dLbls>
          <c:showLegendKey val="0"/>
          <c:showVal val="0"/>
          <c:showCatName val="0"/>
          <c:showSerName val="0"/>
          <c:showPercent val="0"/>
          <c:showBubbleSize val="0"/>
        </c:dLbls>
        <c:gapWidth val="150"/>
        <c:overlap val="100"/>
        <c:axId val="991120751"/>
        <c:axId val="958490159"/>
      </c:barChart>
      <c:barChart>
        <c:barDir val="col"/>
        <c:grouping val="stacked"/>
        <c:varyColors val="0"/>
        <c:ser>
          <c:idx val="4"/>
          <c:order val="4"/>
          <c:tx>
            <c:strRef>
              <c:f>P!$B$34</c:f>
              <c:strCache>
                <c:ptCount val="1"/>
                <c:pt idx="0">
                  <c:v>IST Wert</c:v>
                </c:pt>
              </c:strCache>
            </c:strRef>
          </c:tx>
          <c:spPr>
            <a:solidFill>
              <a:schemeClr val="bg2">
                <a:lumMod val="75000"/>
                <a:alpha val="79000"/>
              </a:schemeClr>
            </a:solidFill>
            <a:ln>
              <a:noFill/>
            </a:ln>
            <a:effectLst/>
          </c:spPr>
          <c:invertIfNegative val="0"/>
          <c:val>
            <c:numRef>
              <c:f>P!$C$34</c:f>
              <c:numCache>
                <c:formatCode>0%</c:formatCode>
                <c:ptCount val="1"/>
                <c:pt idx="0">
                  <c:v>0.63207547169811318</c:v>
                </c:pt>
              </c:numCache>
            </c:numRef>
          </c:val>
          <c:extLst>
            <c:ext xmlns:c16="http://schemas.microsoft.com/office/drawing/2014/chart" uri="{C3380CC4-5D6E-409C-BE32-E72D297353CC}">
              <c16:uniqueId val="{00000006-82B2-114A-949F-C393590C37A7}"/>
            </c:ext>
          </c:extLst>
        </c:ser>
        <c:dLbls>
          <c:showLegendKey val="0"/>
          <c:showVal val="0"/>
          <c:showCatName val="0"/>
          <c:showSerName val="0"/>
          <c:showPercent val="0"/>
          <c:showBubbleSize val="0"/>
        </c:dLbls>
        <c:gapWidth val="358"/>
        <c:overlap val="100"/>
        <c:axId val="1138051343"/>
        <c:axId val="1170808863"/>
      </c:barChart>
      <c:lineChart>
        <c:grouping val="standard"/>
        <c:varyColors val="0"/>
        <c:ser>
          <c:idx val="5"/>
          <c:order val="5"/>
          <c:tx>
            <c:strRef>
              <c:f>P!$B$35</c:f>
              <c:strCache>
                <c:ptCount val="1"/>
                <c:pt idx="0">
                  <c:v>Ziel</c:v>
                </c:pt>
              </c:strCache>
            </c:strRef>
          </c:tx>
          <c:spPr>
            <a:ln w="28575" cap="rnd">
              <a:solidFill>
                <a:schemeClr val="accent6"/>
              </a:solidFill>
              <a:round/>
            </a:ln>
            <a:effectLst/>
          </c:spPr>
          <c:marker>
            <c:symbol val="dash"/>
            <c:size val="30"/>
            <c:spPr>
              <a:solidFill>
                <a:schemeClr val="tx1"/>
              </a:solidFill>
              <a:ln w="9525">
                <a:noFill/>
              </a:ln>
              <a:effectLst/>
            </c:spPr>
          </c:marker>
          <c:val>
            <c:numRef>
              <c:f>P!$C$35</c:f>
              <c:numCache>
                <c:formatCode>0%</c:formatCode>
                <c:ptCount val="1"/>
                <c:pt idx="0">
                  <c:v>0.97</c:v>
                </c:pt>
              </c:numCache>
            </c:numRef>
          </c:val>
          <c:smooth val="0"/>
          <c:extLst>
            <c:ext xmlns:c16="http://schemas.microsoft.com/office/drawing/2014/chart" uri="{C3380CC4-5D6E-409C-BE32-E72D297353CC}">
              <c16:uniqueId val="{00000007-82B2-114A-949F-C393590C37A7}"/>
            </c:ext>
          </c:extLst>
        </c:ser>
        <c:dLbls>
          <c:showLegendKey val="0"/>
          <c:showVal val="0"/>
          <c:showCatName val="0"/>
          <c:showSerName val="0"/>
          <c:showPercent val="0"/>
          <c:showBubbleSize val="0"/>
        </c:dLbls>
        <c:marker val="1"/>
        <c:smooth val="0"/>
        <c:axId val="1138051343"/>
        <c:axId val="1170808863"/>
      </c:lineChart>
      <c:catAx>
        <c:axId val="991120751"/>
        <c:scaling>
          <c:orientation val="minMax"/>
        </c:scaling>
        <c:delete val="1"/>
        <c:axPos val="b"/>
        <c:numFmt formatCode="General" sourceLinked="1"/>
        <c:majorTickMark val="none"/>
        <c:minorTickMark val="none"/>
        <c:tickLblPos val="nextTo"/>
        <c:crossAx val="958490159"/>
        <c:crosses val="autoZero"/>
        <c:auto val="1"/>
        <c:lblAlgn val="ctr"/>
        <c:lblOffset val="100"/>
        <c:noMultiLvlLbl val="0"/>
      </c:catAx>
      <c:valAx>
        <c:axId val="958490159"/>
        <c:scaling>
          <c:orientation val="minMax"/>
        </c:scaling>
        <c:delete val="0"/>
        <c:axPos val="l"/>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991120751"/>
        <c:crosses val="autoZero"/>
        <c:crossBetween val="between"/>
      </c:valAx>
      <c:valAx>
        <c:axId val="1170808863"/>
        <c:scaling>
          <c:orientation val="minMax"/>
        </c:scaling>
        <c:delete val="1"/>
        <c:axPos val="r"/>
        <c:numFmt formatCode="0%" sourceLinked="1"/>
        <c:majorTickMark val="out"/>
        <c:minorTickMark val="none"/>
        <c:tickLblPos val="nextTo"/>
        <c:crossAx val="1138051343"/>
        <c:crosses val="max"/>
        <c:crossBetween val="between"/>
      </c:valAx>
      <c:catAx>
        <c:axId val="1138051343"/>
        <c:scaling>
          <c:orientation val="minMax"/>
        </c:scaling>
        <c:delete val="1"/>
        <c:axPos val="b"/>
        <c:majorTickMark val="out"/>
        <c:minorTickMark val="none"/>
        <c:tickLblPos val="nextTo"/>
        <c:crossAx val="11708088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P!$E$30</c:f>
              <c:strCache>
                <c:ptCount val="1"/>
                <c:pt idx="0">
                  <c:v>perfekt</c:v>
                </c:pt>
              </c:strCache>
            </c:strRef>
          </c:tx>
          <c:spPr>
            <a:solidFill>
              <a:srgbClr val="0C5D2D">
                <a:alpha val="86000"/>
              </a:srgbClr>
            </a:solidFill>
            <a:ln>
              <a:noFill/>
            </a:ln>
            <a:effectLst/>
          </c:spPr>
          <c:invertIfNegative val="0"/>
          <c:val>
            <c:numRef>
              <c:f>P!$F$30</c:f>
              <c:numCache>
                <c:formatCode>0%</c:formatCode>
                <c:ptCount val="1"/>
                <c:pt idx="0">
                  <c:v>0.01</c:v>
                </c:pt>
              </c:numCache>
            </c:numRef>
          </c:val>
          <c:extLst>
            <c:ext xmlns:c16="http://schemas.microsoft.com/office/drawing/2014/chart" uri="{C3380CC4-5D6E-409C-BE32-E72D297353CC}">
              <c16:uniqueId val="{00000000-BE7F-E04A-81BF-CF4FBDA9BCEC}"/>
            </c:ext>
          </c:extLst>
        </c:ser>
        <c:ser>
          <c:idx val="1"/>
          <c:order val="1"/>
          <c:tx>
            <c:strRef>
              <c:f>P!$E$31</c:f>
              <c:strCache>
                <c:ptCount val="1"/>
                <c:pt idx="0">
                  <c:v>gut</c:v>
                </c:pt>
              </c:strCache>
            </c:strRef>
          </c:tx>
          <c:spPr>
            <a:solidFill>
              <a:srgbClr val="92D050">
                <a:alpha val="86000"/>
              </a:srgbClr>
            </a:solidFill>
            <a:ln>
              <a:noFill/>
            </a:ln>
            <a:effectLst/>
          </c:spPr>
          <c:invertIfNegative val="0"/>
          <c:val>
            <c:numRef>
              <c:f>P!$F$31</c:f>
              <c:numCache>
                <c:formatCode>0%</c:formatCode>
                <c:ptCount val="1"/>
                <c:pt idx="0">
                  <c:v>0.02</c:v>
                </c:pt>
              </c:numCache>
            </c:numRef>
          </c:val>
          <c:extLst>
            <c:ext xmlns:c16="http://schemas.microsoft.com/office/drawing/2014/chart" uri="{C3380CC4-5D6E-409C-BE32-E72D297353CC}">
              <c16:uniqueId val="{00000001-BE7F-E04A-81BF-CF4FBDA9BCEC}"/>
            </c:ext>
          </c:extLst>
        </c:ser>
        <c:ser>
          <c:idx val="2"/>
          <c:order val="2"/>
          <c:tx>
            <c:strRef>
              <c:f>P!$E$32</c:f>
              <c:strCache>
                <c:ptCount val="1"/>
                <c:pt idx="0">
                  <c:v>ok</c:v>
                </c:pt>
              </c:strCache>
            </c:strRef>
          </c:tx>
          <c:spPr>
            <a:solidFill>
              <a:srgbClr val="FFC000">
                <a:alpha val="87000"/>
              </a:srgbClr>
            </a:solidFill>
            <a:ln>
              <a:noFill/>
            </a:ln>
            <a:effectLst/>
          </c:spPr>
          <c:invertIfNegative val="0"/>
          <c:val>
            <c:numRef>
              <c:f>P!$F$32</c:f>
              <c:numCache>
                <c:formatCode>0%</c:formatCode>
                <c:ptCount val="1"/>
                <c:pt idx="0">
                  <c:v>0.03</c:v>
                </c:pt>
              </c:numCache>
            </c:numRef>
          </c:val>
          <c:extLst>
            <c:ext xmlns:c16="http://schemas.microsoft.com/office/drawing/2014/chart" uri="{C3380CC4-5D6E-409C-BE32-E72D297353CC}">
              <c16:uniqueId val="{00000002-BE7F-E04A-81BF-CF4FBDA9BCEC}"/>
            </c:ext>
          </c:extLst>
        </c:ser>
        <c:ser>
          <c:idx val="3"/>
          <c:order val="3"/>
          <c:tx>
            <c:strRef>
              <c:f>P!$E$33</c:f>
              <c:strCache>
                <c:ptCount val="1"/>
                <c:pt idx="0">
                  <c:v>schlecht</c:v>
                </c:pt>
              </c:strCache>
            </c:strRef>
          </c:tx>
          <c:spPr>
            <a:solidFill>
              <a:srgbClr val="FF0000">
                <a:alpha val="81000"/>
              </a:srgbClr>
            </a:solidFill>
            <a:ln>
              <a:noFill/>
            </a:ln>
            <a:effectLst/>
          </c:spPr>
          <c:invertIfNegative val="0"/>
          <c:val>
            <c:numRef>
              <c:f>P!$F$33</c:f>
              <c:numCache>
                <c:formatCode>0%</c:formatCode>
                <c:ptCount val="1"/>
                <c:pt idx="0">
                  <c:v>0.03</c:v>
                </c:pt>
              </c:numCache>
            </c:numRef>
          </c:val>
          <c:extLst>
            <c:ext xmlns:c16="http://schemas.microsoft.com/office/drawing/2014/chart" uri="{C3380CC4-5D6E-409C-BE32-E72D297353CC}">
              <c16:uniqueId val="{00000003-BE7F-E04A-81BF-CF4FBDA9BCEC}"/>
            </c:ext>
          </c:extLst>
        </c:ser>
        <c:dLbls>
          <c:showLegendKey val="0"/>
          <c:showVal val="0"/>
          <c:showCatName val="0"/>
          <c:showSerName val="0"/>
          <c:showPercent val="0"/>
          <c:showBubbleSize val="0"/>
        </c:dLbls>
        <c:gapWidth val="99"/>
        <c:overlap val="100"/>
        <c:axId val="991120751"/>
        <c:axId val="958490159"/>
      </c:barChart>
      <c:barChart>
        <c:barDir val="col"/>
        <c:grouping val="stacked"/>
        <c:varyColors val="0"/>
        <c:ser>
          <c:idx val="4"/>
          <c:order val="4"/>
          <c:tx>
            <c:strRef>
              <c:f>P!$E$34</c:f>
              <c:strCache>
                <c:ptCount val="1"/>
                <c:pt idx="0">
                  <c:v>IST Wert</c:v>
                </c:pt>
              </c:strCache>
            </c:strRef>
          </c:tx>
          <c:spPr>
            <a:solidFill>
              <a:schemeClr val="accent5"/>
            </a:solidFill>
            <a:ln>
              <a:noFill/>
            </a:ln>
            <a:effectLst/>
          </c:spPr>
          <c:invertIfNegative val="0"/>
          <c:dPt>
            <c:idx val="0"/>
            <c:invertIfNegative val="0"/>
            <c:bubble3D val="0"/>
            <c:spPr>
              <a:solidFill>
                <a:schemeClr val="bg1">
                  <a:lumMod val="75000"/>
                  <a:alpha val="81000"/>
                </a:schemeClr>
              </a:solidFill>
              <a:ln>
                <a:noFill/>
              </a:ln>
              <a:effectLst/>
            </c:spPr>
            <c:extLst>
              <c:ext xmlns:c16="http://schemas.microsoft.com/office/drawing/2014/chart" uri="{C3380CC4-5D6E-409C-BE32-E72D297353CC}">
                <c16:uniqueId val="{00000005-BE7F-E04A-81BF-CF4FBDA9BCEC}"/>
              </c:ext>
            </c:extLst>
          </c:dPt>
          <c:val>
            <c:numRef>
              <c:f>P!$F$34</c:f>
              <c:numCache>
                <c:formatCode>0%</c:formatCode>
                <c:ptCount val="1"/>
                <c:pt idx="0">
                  <c:v>3.3018867924528301E-2</c:v>
                </c:pt>
              </c:numCache>
            </c:numRef>
          </c:val>
          <c:extLst>
            <c:ext xmlns:c16="http://schemas.microsoft.com/office/drawing/2014/chart" uri="{C3380CC4-5D6E-409C-BE32-E72D297353CC}">
              <c16:uniqueId val="{00000006-BE7F-E04A-81BF-CF4FBDA9BCEC}"/>
            </c:ext>
          </c:extLst>
        </c:ser>
        <c:dLbls>
          <c:showLegendKey val="0"/>
          <c:showVal val="0"/>
          <c:showCatName val="0"/>
          <c:showSerName val="0"/>
          <c:showPercent val="0"/>
          <c:showBubbleSize val="0"/>
        </c:dLbls>
        <c:gapWidth val="308"/>
        <c:overlap val="100"/>
        <c:axId val="1138051343"/>
        <c:axId val="1170808863"/>
      </c:barChart>
      <c:lineChart>
        <c:grouping val="standard"/>
        <c:varyColors val="0"/>
        <c:ser>
          <c:idx val="5"/>
          <c:order val="5"/>
          <c:tx>
            <c:strRef>
              <c:f>P!$E$35</c:f>
              <c:strCache>
                <c:ptCount val="1"/>
                <c:pt idx="0">
                  <c:v>Ziel</c:v>
                </c:pt>
              </c:strCache>
            </c:strRef>
          </c:tx>
          <c:spPr>
            <a:ln w="28575" cap="rnd">
              <a:noFill/>
              <a:round/>
            </a:ln>
            <a:effectLst/>
          </c:spPr>
          <c:marker>
            <c:symbol val="dash"/>
            <c:size val="30"/>
            <c:spPr>
              <a:solidFill>
                <a:schemeClr val="tx1"/>
              </a:solidFill>
              <a:ln w="9525">
                <a:noFill/>
              </a:ln>
              <a:effectLst/>
            </c:spPr>
          </c:marker>
          <c:dPt>
            <c:idx val="0"/>
            <c:marker>
              <c:symbol val="dash"/>
              <c:size val="30"/>
              <c:spPr>
                <a:solidFill>
                  <a:schemeClr val="tx1"/>
                </a:solidFill>
                <a:ln w="9525">
                  <a:noFill/>
                </a:ln>
                <a:effectLst/>
              </c:spPr>
            </c:marker>
            <c:bubble3D val="0"/>
            <c:spPr>
              <a:ln w="28575" cap="rnd">
                <a:noFill/>
                <a:round/>
              </a:ln>
              <a:effectLst/>
            </c:spPr>
            <c:extLst>
              <c:ext xmlns:c16="http://schemas.microsoft.com/office/drawing/2014/chart" uri="{C3380CC4-5D6E-409C-BE32-E72D297353CC}">
                <c16:uniqueId val="{00000008-BE7F-E04A-81BF-CF4FBDA9BCEC}"/>
              </c:ext>
            </c:extLst>
          </c:dPt>
          <c:val>
            <c:numRef>
              <c:f>P!$F$35</c:f>
              <c:numCache>
                <c:formatCode>0%</c:formatCode>
                <c:ptCount val="1"/>
                <c:pt idx="0">
                  <c:v>0.03</c:v>
                </c:pt>
              </c:numCache>
            </c:numRef>
          </c:val>
          <c:smooth val="0"/>
          <c:extLst>
            <c:ext xmlns:c16="http://schemas.microsoft.com/office/drawing/2014/chart" uri="{C3380CC4-5D6E-409C-BE32-E72D297353CC}">
              <c16:uniqueId val="{00000009-BE7F-E04A-81BF-CF4FBDA9BCEC}"/>
            </c:ext>
          </c:extLst>
        </c:ser>
        <c:dLbls>
          <c:showLegendKey val="0"/>
          <c:showVal val="0"/>
          <c:showCatName val="0"/>
          <c:showSerName val="0"/>
          <c:showPercent val="0"/>
          <c:showBubbleSize val="0"/>
        </c:dLbls>
        <c:marker val="1"/>
        <c:smooth val="0"/>
        <c:axId val="1138051343"/>
        <c:axId val="1170808863"/>
      </c:lineChart>
      <c:catAx>
        <c:axId val="991120751"/>
        <c:scaling>
          <c:orientation val="minMax"/>
        </c:scaling>
        <c:delete val="1"/>
        <c:axPos val="b"/>
        <c:numFmt formatCode="General" sourceLinked="1"/>
        <c:majorTickMark val="none"/>
        <c:minorTickMark val="none"/>
        <c:tickLblPos val="nextTo"/>
        <c:crossAx val="958490159"/>
        <c:crosses val="autoZero"/>
        <c:auto val="1"/>
        <c:lblAlgn val="ctr"/>
        <c:lblOffset val="100"/>
        <c:noMultiLvlLbl val="0"/>
      </c:catAx>
      <c:valAx>
        <c:axId val="958490159"/>
        <c:scaling>
          <c:orientation val="minMax"/>
        </c:scaling>
        <c:delete val="0"/>
        <c:axPos val="l"/>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991120751"/>
        <c:crosses val="autoZero"/>
        <c:crossBetween val="between"/>
      </c:valAx>
      <c:valAx>
        <c:axId val="1170808863"/>
        <c:scaling>
          <c:orientation val="minMax"/>
        </c:scaling>
        <c:delete val="1"/>
        <c:axPos val="r"/>
        <c:numFmt formatCode="0%" sourceLinked="1"/>
        <c:majorTickMark val="out"/>
        <c:minorTickMark val="none"/>
        <c:tickLblPos val="nextTo"/>
        <c:crossAx val="1138051343"/>
        <c:crosses val="max"/>
        <c:crossBetween val="between"/>
      </c:valAx>
      <c:catAx>
        <c:axId val="1138051343"/>
        <c:scaling>
          <c:orientation val="minMax"/>
        </c:scaling>
        <c:delete val="1"/>
        <c:axPos val="b"/>
        <c:majorTickMark val="out"/>
        <c:minorTickMark val="none"/>
        <c:tickLblPos val="nextTo"/>
        <c:crossAx val="11708088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[Dashboard.xlsx]M!PivotTable8</c:name>
    <c:fmtId val="1"/>
  </c:pivotSource>
  <c:chart>
    <c:autoTitleDeleted val="0"/>
    <c:pivotFmts>
      <c:pivotFmt>
        <c:idx val="0"/>
        <c:spPr>
          <a:blipFill>
            <a:blip xmlns:r="http://schemas.openxmlformats.org/officeDocument/2006/relationships" r:embed="rId3"/>
            <a:stretch>
              <a:fillRect/>
            </a:stretch>
          </a:blip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dpi="0" rotWithShape="1">
            <a:blip xmlns:r="http://schemas.openxmlformats.org/officeDocument/2006/relationships" r:embed="rId4"/>
            <a:srcRect/>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stretch>
              <a:fillRect/>
            </a:stretch>
          </a:blipFill>
          <a:ln>
            <a:solidFill>
              <a:schemeClr val="bg1"/>
            </a:solidFill>
          </a:ln>
          <a:effectLst/>
        </c:spPr>
      </c:pivotFmt>
    </c:pivotFmts>
    <c:plotArea>
      <c:layout/>
      <c:barChart>
        <c:barDir val="bar"/>
        <c:grouping val="stacked"/>
        <c:varyColors val="0"/>
        <c:ser>
          <c:idx val="0"/>
          <c:order val="0"/>
          <c:tx>
            <c:strRef>
              <c:f>M!$B$6</c:f>
              <c:strCache>
                <c:ptCount val="1"/>
                <c:pt idx="0">
                  <c:v>Summe von Mitarbeiter (M)</c:v>
                </c:pt>
              </c:strCache>
            </c:strRef>
          </c:tx>
          <c:spPr>
            <a:blipFill>
              <a:blip xmlns:r="http://schemas.openxmlformats.org/officeDocument/2006/relationships" r:embed="rId3"/>
              <a:stretch>
                <a:fillRect/>
              </a:stretch>
            </a:blipFill>
            <a:ln>
              <a:solidFill>
                <a:schemeClr val="bg1"/>
              </a:solidFill>
            </a:ln>
            <a:effectLst/>
          </c:spPr>
          <c:invertIfNegative val="0"/>
          <c:pictureOptions>
            <c:pictureFormat val="stackScale"/>
            <c:pictureStackUnit val="10"/>
          </c:pictureOptions>
          <c:cat>
            <c:strRef>
              <c:f>M!$A$7:$A$11</c:f>
              <c:strCache>
                <c:ptCount val="4"/>
                <c:pt idx="0">
                  <c:v>Bern</c:v>
                </c:pt>
                <c:pt idx="1">
                  <c:v>Genf</c:v>
                </c:pt>
                <c:pt idx="2">
                  <c:v>Luzern</c:v>
                </c:pt>
                <c:pt idx="3">
                  <c:v>Zürich</c:v>
                </c:pt>
              </c:strCache>
            </c:strRef>
          </c:cat>
          <c:val>
            <c:numRef>
              <c:f>M!$B$7:$B$11</c:f>
              <c:numCache>
                <c:formatCode>General</c:formatCode>
                <c:ptCount val="4"/>
                <c:pt idx="0">
                  <c:v>98</c:v>
                </c:pt>
                <c:pt idx="1">
                  <c:v>14</c:v>
                </c:pt>
                <c:pt idx="2">
                  <c:v>48</c:v>
                </c:pt>
                <c:pt idx="3">
                  <c:v>52</c:v>
                </c:pt>
              </c:numCache>
            </c:numRef>
          </c:val>
          <c:extLst>
            <c:ext xmlns:c16="http://schemas.microsoft.com/office/drawing/2014/chart" uri="{C3380CC4-5D6E-409C-BE32-E72D297353CC}">
              <c16:uniqueId val="{00000000-5D77-AD47-94CF-8059629914C2}"/>
            </c:ext>
          </c:extLst>
        </c:ser>
        <c:ser>
          <c:idx val="1"/>
          <c:order val="1"/>
          <c:tx>
            <c:strRef>
              <c:f>M!$C$6</c:f>
              <c:strCache>
                <c:ptCount val="1"/>
                <c:pt idx="0">
                  <c:v>Summe von Mitarbeiter (F)</c:v>
                </c:pt>
              </c:strCache>
            </c:strRef>
          </c:tx>
          <c:spPr>
            <a:blipFill dpi="0" rotWithShape="1">
              <a:blip xmlns:r="http://schemas.openxmlformats.org/officeDocument/2006/relationships" r:embed="rId4"/>
              <a:srcRect/>
              <a:stretch>
                <a:fillRect/>
              </a:stretch>
            </a:blipFill>
            <a:ln>
              <a:noFill/>
            </a:ln>
            <a:effectLst/>
          </c:spPr>
          <c:invertIfNegative val="0"/>
          <c:pictureOptions>
            <c:pictureFormat val="stackScale"/>
            <c:pictureStackUnit val="10"/>
          </c:pictureOptions>
          <c:cat>
            <c:strRef>
              <c:f>M!$A$7:$A$11</c:f>
              <c:strCache>
                <c:ptCount val="4"/>
                <c:pt idx="0">
                  <c:v>Bern</c:v>
                </c:pt>
                <c:pt idx="1">
                  <c:v>Genf</c:v>
                </c:pt>
                <c:pt idx="2">
                  <c:v>Luzern</c:v>
                </c:pt>
                <c:pt idx="3">
                  <c:v>Zürich</c:v>
                </c:pt>
              </c:strCache>
            </c:strRef>
          </c:cat>
          <c:val>
            <c:numRef>
              <c:f>M!$C$7:$C$11</c:f>
              <c:numCache>
                <c:formatCode>General</c:formatCode>
                <c:ptCount val="4"/>
                <c:pt idx="0">
                  <c:v>100</c:v>
                </c:pt>
                <c:pt idx="1">
                  <c:v>40</c:v>
                </c:pt>
                <c:pt idx="2">
                  <c:v>96</c:v>
                </c:pt>
                <c:pt idx="3">
                  <c:v>37</c:v>
                </c:pt>
              </c:numCache>
            </c:numRef>
          </c:val>
          <c:extLst>
            <c:ext xmlns:c16="http://schemas.microsoft.com/office/drawing/2014/chart" uri="{C3380CC4-5D6E-409C-BE32-E72D297353CC}">
              <c16:uniqueId val="{00000001-5D77-AD47-94CF-8059629914C2}"/>
            </c:ext>
          </c:extLst>
        </c:ser>
        <c:dLbls>
          <c:showLegendKey val="0"/>
          <c:showVal val="0"/>
          <c:showCatName val="0"/>
          <c:showSerName val="0"/>
          <c:showPercent val="0"/>
          <c:showBubbleSize val="0"/>
        </c:dLbls>
        <c:gapWidth val="219"/>
        <c:overlap val="100"/>
        <c:axId val="777761039"/>
        <c:axId val="773826095"/>
      </c:barChart>
      <c:catAx>
        <c:axId val="77776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73826095"/>
        <c:crosses val="autoZero"/>
        <c:auto val="1"/>
        <c:lblAlgn val="ctr"/>
        <c:lblOffset val="100"/>
        <c:noMultiLvlLbl val="0"/>
      </c:catAx>
      <c:valAx>
        <c:axId val="77382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7776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M!$B$6</c:f>
              <c:strCache>
                <c:ptCount val="1"/>
                <c:pt idx="0">
                  <c:v>Summe von Mitarbeiter (M)</c:v>
                </c:pt>
              </c:strCache>
            </c:strRef>
          </c:tx>
          <c:spPr>
            <a:solidFill>
              <a:schemeClr val="accent1"/>
            </a:solidFill>
            <a:ln>
              <a:noFill/>
            </a:ln>
            <a:effectLst/>
          </c:spPr>
          <c:invertIfNegative val="0"/>
          <c:cat>
            <c:strRef>
              <c:f>M!$A$7:$A$11</c:f>
              <c:strCache>
                <c:ptCount val="4"/>
                <c:pt idx="0">
                  <c:v>Bern</c:v>
                </c:pt>
                <c:pt idx="1">
                  <c:v>Genf</c:v>
                </c:pt>
                <c:pt idx="2">
                  <c:v>Luzern</c:v>
                </c:pt>
                <c:pt idx="3">
                  <c:v>Zürich</c:v>
                </c:pt>
              </c:strCache>
            </c:strRef>
          </c:cat>
          <c:val>
            <c:numRef>
              <c:f>M!$B$7:$B$11</c:f>
              <c:numCache>
                <c:formatCode>General</c:formatCode>
                <c:ptCount val="4"/>
                <c:pt idx="0">
                  <c:v>98</c:v>
                </c:pt>
                <c:pt idx="1">
                  <c:v>14</c:v>
                </c:pt>
                <c:pt idx="2">
                  <c:v>48</c:v>
                </c:pt>
                <c:pt idx="3">
                  <c:v>52</c:v>
                </c:pt>
              </c:numCache>
            </c:numRef>
          </c:val>
          <c:extLst>
            <c:ext xmlns:c16="http://schemas.microsoft.com/office/drawing/2014/chart" uri="{C3380CC4-5D6E-409C-BE32-E72D297353CC}">
              <c16:uniqueId val="{00000008-0D0B-5542-B5C3-35FE110E6610}"/>
            </c:ext>
          </c:extLst>
        </c:ser>
        <c:ser>
          <c:idx val="1"/>
          <c:order val="1"/>
          <c:tx>
            <c:strRef>
              <c:f>M!$C$6</c:f>
              <c:strCache>
                <c:ptCount val="1"/>
                <c:pt idx="0">
                  <c:v>Summe von Mitarbeiter (F)</c:v>
                </c:pt>
              </c:strCache>
            </c:strRef>
          </c:tx>
          <c:spPr>
            <a:solidFill>
              <a:schemeClr val="accent2"/>
            </a:solidFill>
            <a:ln>
              <a:noFill/>
            </a:ln>
            <a:effectLst/>
          </c:spPr>
          <c:invertIfNegative val="0"/>
          <c:cat>
            <c:strRef>
              <c:f>M!$A$7:$A$11</c:f>
              <c:strCache>
                <c:ptCount val="4"/>
                <c:pt idx="0">
                  <c:v>Bern</c:v>
                </c:pt>
                <c:pt idx="1">
                  <c:v>Genf</c:v>
                </c:pt>
                <c:pt idx="2">
                  <c:v>Luzern</c:v>
                </c:pt>
                <c:pt idx="3">
                  <c:v>Zürich</c:v>
                </c:pt>
              </c:strCache>
            </c:strRef>
          </c:cat>
          <c:val>
            <c:numRef>
              <c:f>M!$C$7:$C$11</c:f>
              <c:numCache>
                <c:formatCode>General</c:formatCode>
                <c:ptCount val="4"/>
                <c:pt idx="0">
                  <c:v>100</c:v>
                </c:pt>
                <c:pt idx="1">
                  <c:v>40</c:v>
                </c:pt>
                <c:pt idx="2">
                  <c:v>96</c:v>
                </c:pt>
                <c:pt idx="3">
                  <c:v>37</c:v>
                </c:pt>
              </c:numCache>
            </c:numRef>
          </c:val>
          <c:extLst>
            <c:ext xmlns:c16="http://schemas.microsoft.com/office/drawing/2014/chart" uri="{C3380CC4-5D6E-409C-BE32-E72D297353CC}">
              <c16:uniqueId val="{00000009-0D0B-5542-B5C3-35FE110E6610}"/>
            </c:ext>
          </c:extLst>
        </c:ser>
        <c:dLbls>
          <c:showLegendKey val="0"/>
          <c:showVal val="0"/>
          <c:showCatName val="0"/>
          <c:showSerName val="0"/>
          <c:showPercent val="0"/>
          <c:showBubbleSize val="0"/>
        </c:dLbls>
        <c:gapWidth val="219"/>
        <c:overlap val="100"/>
        <c:axId val="123184192"/>
        <c:axId val="123106880"/>
      </c:barChart>
      <c:catAx>
        <c:axId val="12318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106880"/>
        <c:crosses val="autoZero"/>
        <c:auto val="1"/>
        <c:lblAlgn val="ctr"/>
        <c:lblOffset val="100"/>
        <c:noMultiLvlLbl val="0"/>
      </c:catAx>
      <c:valAx>
        <c:axId val="123106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18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884013817074"/>
          <c:y val="6.0059941831595375E-2"/>
          <c:w val="0.79637816730674338"/>
          <c:h val="0.71558700432716182"/>
        </c:manualLayout>
      </c:layout>
      <c:barChart>
        <c:barDir val="bar"/>
        <c:grouping val="percentStacked"/>
        <c:varyColors val="0"/>
        <c:ser>
          <c:idx val="0"/>
          <c:order val="0"/>
          <c:tx>
            <c:strRef>
              <c:f>K!$C$4:$C$5</c:f>
              <c:strCache>
                <c:ptCount val="1"/>
                <c:pt idx="0">
                  <c:v>Sehr unzufrieden</c:v>
                </c:pt>
              </c:strCache>
            </c:strRef>
          </c:tx>
          <c:spPr>
            <a:solidFill>
              <a:schemeClr val="accent1"/>
            </a:solidFill>
            <a:ln>
              <a:noFill/>
            </a:ln>
            <a:effectLst/>
          </c:spPr>
          <c:invertIfNegative val="0"/>
          <c:cat>
            <c:strRef>
              <c:f>K!$B$6:$B$12</c:f>
              <c:strCache>
                <c:ptCount val="6"/>
                <c:pt idx="0">
                  <c:v>A</c:v>
                </c:pt>
                <c:pt idx="1">
                  <c:v>B</c:v>
                </c:pt>
                <c:pt idx="2">
                  <c:v>C</c:v>
                </c:pt>
                <c:pt idx="3">
                  <c:v>D</c:v>
                </c:pt>
                <c:pt idx="4">
                  <c:v>E</c:v>
                </c:pt>
                <c:pt idx="5">
                  <c:v>F</c:v>
                </c:pt>
              </c:strCache>
            </c:strRef>
          </c:cat>
          <c:val>
            <c:numRef>
              <c:f>K!$C$6:$C$12</c:f>
              <c:numCache>
                <c:formatCode>General</c:formatCode>
                <c:ptCount val="6"/>
                <c:pt idx="0">
                  <c:v>3</c:v>
                </c:pt>
                <c:pt idx="1">
                  <c:v>4</c:v>
                </c:pt>
                <c:pt idx="2">
                  <c:v>5</c:v>
                </c:pt>
                <c:pt idx="3">
                  <c:v>4</c:v>
                </c:pt>
                <c:pt idx="4">
                  <c:v>4</c:v>
                </c:pt>
                <c:pt idx="5">
                  <c:v>3</c:v>
                </c:pt>
              </c:numCache>
            </c:numRef>
          </c:val>
          <c:extLst>
            <c:ext xmlns:c16="http://schemas.microsoft.com/office/drawing/2014/chart" uri="{C3380CC4-5D6E-409C-BE32-E72D297353CC}">
              <c16:uniqueId val="{00000005-E5AB-514C-8AD1-542AC3E0CD24}"/>
            </c:ext>
          </c:extLst>
        </c:ser>
        <c:ser>
          <c:idx val="1"/>
          <c:order val="1"/>
          <c:tx>
            <c:strRef>
              <c:f>K!$D$4:$D$5</c:f>
              <c:strCache>
                <c:ptCount val="1"/>
                <c:pt idx="0">
                  <c:v>Neutral</c:v>
                </c:pt>
              </c:strCache>
            </c:strRef>
          </c:tx>
          <c:spPr>
            <a:solidFill>
              <a:schemeClr val="accent2"/>
            </a:solidFill>
            <a:ln>
              <a:noFill/>
            </a:ln>
            <a:effectLst/>
          </c:spPr>
          <c:invertIfNegative val="0"/>
          <c:cat>
            <c:strRef>
              <c:f>K!$B$6:$B$12</c:f>
              <c:strCache>
                <c:ptCount val="6"/>
                <c:pt idx="0">
                  <c:v>A</c:v>
                </c:pt>
                <c:pt idx="1">
                  <c:v>B</c:v>
                </c:pt>
                <c:pt idx="2">
                  <c:v>C</c:v>
                </c:pt>
                <c:pt idx="3">
                  <c:v>D</c:v>
                </c:pt>
                <c:pt idx="4">
                  <c:v>E</c:v>
                </c:pt>
                <c:pt idx="5">
                  <c:v>F</c:v>
                </c:pt>
              </c:strCache>
            </c:strRef>
          </c:cat>
          <c:val>
            <c:numRef>
              <c:f>K!$D$6:$D$12</c:f>
              <c:numCache>
                <c:formatCode>General</c:formatCode>
                <c:ptCount val="6"/>
                <c:pt idx="0">
                  <c:v>9</c:v>
                </c:pt>
                <c:pt idx="1">
                  <c:v>7</c:v>
                </c:pt>
                <c:pt idx="2">
                  <c:v>7</c:v>
                </c:pt>
                <c:pt idx="3">
                  <c:v>6</c:v>
                </c:pt>
                <c:pt idx="4">
                  <c:v>7</c:v>
                </c:pt>
                <c:pt idx="5">
                  <c:v>7</c:v>
                </c:pt>
              </c:numCache>
            </c:numRef>
          </c:val>
          <c:extLst>
            <c:ext xmlns:c16="http://schemas.microsoft.com/office/drawing/2014/chart" uri="{C3380CC4-5D6E-409C-BE32-E72D297353CC}">
              <c16:uniqueId val="{00000006-E5AB-514C-8AD1-542AC3E0CD24}"/>
            </c:ext>
          </c:extLst>
        </c:ser>
        <c:ser>
          <c:idx val="2"/>
          <c:order val="2"/>
          <c:tx>
            <c:strRef>
              <c:f>K!$E$4:$E$5</c:f>
              <c:strCache>
                <c:ptCount val="1"/>
                <c:pt idx="0">
                  <c:v>Unzufrieden</c:v>
                </c:pt>
              </c:strCache>
            </c:strRef>
          </c:tx>
          <c:spPr>
            <a:solidFill>
              <a:schemeClr val="accent3"/>
            </a:solidFill>
            <a:ln>
              <a:noFill/>
            </a:ln>
            <a:effectLst/>
          </c:spPr>
          <c:invertIfNegative val="0"/>
          <c:cat>
            <c:strRef>
              <c:f>K!$B$6:$B$12</c:f>
              <c:strCache>
                <c:ptCount val="6"/>
                <c:pt idx="0">
                  <c:v>A</c:v>
                </c:pt>
                <c:pt idx="1">
                  <c:v>B</c:v>
                </c:pt>
                <c:pt idx="2">
                  <c:v>C</c:v>
                </c:pt>
                <c:pt idx="3">
                  <c:v>D</c:v>
                </c:pt>
                <c:pt idx="4">
                  <c:v>E</c:v>
                </c:pt>
                <c:pt idx="5">
                  <c:v>F</c:v>
                </c:pt>
              </c:strCache>
            </c:strRef>
          </c:cat>
          <c:val>
            <c:numRef>
              <c:f>K!$E$6:$E$12</c:f>
              <c:numCache>
                <c:formatCode>General</c:formatCode>
                <c:ptCount val="6"/>
                <c:pt idx="0">
                  <c:v>3</c:v>
                </c:pt>
                <c:pt idx="1">
                  <c:v>2</c:v>
                </c:pt>
                <c:pt idx="2">
                  <c:v>2</c:v>
                </c:pt>
                <c:pt idx="3">
                  <c:v>5</c:v>
                </c:pt>
                <c:pt idx="4">
                  <c:v>3</c:v>
                </c:pt>
                <c:pt idx="5">
                  <c:v>4</c:v>
                </c:pt>
              </c:numCache>
            </c:numRef>
          </c:val>
          <c:extLst>
            <c:ext xmlns:c16="http://schemas.microsoft.com/office/drawing/2014/chart" uri="{C3380CC4-5D6E-409C-BE32-E72D297353CC}">
              <c16:uniqueId val="{00000007-E5AB-514C-8AD1-542AC3E0CD24}"/>
            </c:ext>
          </c:extLst>
        </c:ser>
        <c:ser>
          <c:idx val="3"/>
          <c:order val="3"/>
          <c:tx>
            <c:strRef>
              <c:f>K!$F$4:$F$5</c:f>
              <c:strCache>
                <c:ptCount val="1"/>
                <c:pt idx="0">
                  <c:v>Zufrieden</c:v>
                </c:pt>
              </c:strCache>
            </c:strRef>
          </c:tx>
          <c:spPr>
            <a:solidFill>
              <a:schemeClr val="accent4"/>
            </a:solidFill>
            <a:ln>
              <a:noFill/>
            </a:ln>
            <a:effectLst/>
          </c:spPr>
          <c:invertIfNegative val="0"/>
          <c:cat>
            <c:strRef>
              <c:f>K!$B$6:$B$12</c:f>
              <c:strCache>
                <c:ptCount val="6"/>
                <c:pt idx="0">
                  <c:v>A</c:v>
                </c:pt>
                <c:pt idx="1">
                  <c:v>B</c:v>
                </c:pt>
                <c:pt idx="2">
                  <c:v>C</c:v>
                </c:pt>
                <c:pt idx="3">
                  <c:v>D</c:v>
                </c:pt>
                <c:pt idx="4">
                  <c:v>E</c:v>
                </c:pt>
                <c:pt idx="5">
                  <c:v>F</c:v>
                </c:pt>
              </c:strCache>
            </c:strRef>
          </c:cat>
          <c:val>
            <c:numRef>
              <c:f>K!$F$6:$F$12</c:f>
              <c:numCache>
                <c:formatCode>General</c:formatCode>
                <c:ptCount val="6"/>
                <c:pt idx="0">
                  <c:v>16</c:v>
                </c:pt>
                <c:pt idx="1">
                  <c:v>18</c:v>
                </c:pt>
                <c:pt idx="2">
                  <c:v>17</c:v>
                </c:pt>
                <c:pt idx="3">
                  <c:v>15</c:v>
                </c:pt>
                <c:pt idx="4">
                  <c:v>18</c:v>
                </c:pt>
                <c:pt idx="5">
                  <c:v>18</c:v>
                </c:pt>
              </c:numCache>
            </c:numRef>
          </c:val>
          <c:extLst>
            <c:ext xmlns:c16="http://schemas.microsoft.com/office/drawing/2014/chart" uri="{C3380CC4-5D6E-409C-BE32-E72D297353CC}">
              <c16:uniqueId val="{00000008-E5AB-514C-8AD1-542AC3E0CD24}"/>
            </c:ext>
          </c:extLst>
        </c:ser>
        <c:ser>
          <c:idx val="4"/>
          <c:order val="4"/>
          <c:tx>
            <c:strRef>
              <c:f>K!$G$4:$G$5</c:f>
              <c:strCache>
                <c:ptCount val="1"/>
                <c:pt idx="0">
                  <c:v>Sehr zufrieden</c:v>
                </c:pt>
              </c:strCache>
            </c:strRef>
          </c:tx>
          <c:spPr>
            <a:solidFill>
              <a:schemeClr val="accent5"/>
            </a:solidFill>
            <a:ln>
              <a:noFill/>
            </a:ln>
            <a:effectLst/>
          </c:spPr>
          <c:invertIfNegative val="0"/>
          <c:cat>
            <c:strRef>
              <c:f>K!$B$6:$B$12</c:f>
              <c:strCache>
                <c:ptCount val="6"/>
                <c:pt idx="0">
                  <c:v>A</c:v>
                </c:pt>
                <c:pt idx="1">
                  <c:v>B</c:v>
                </c:pt>
                <c:pt idx="2">
                  <c:v>C</c:v>
                </c:pt>
                <c:pt idx="3">
                  <c:v>D</c:v>
                </c:pt>
                <c:pt idx="4">
                  <c:v>E</c:v>
                </c:pt>
                <c:pt idx="5">
                  <c:v>F</c:v>
                </c:pt>
              </c:strCache>
            </c:strRef>
          </c:cat>
          <c:val>
            <c:numRef>
              <c:f>K!$G$6:$G$12</c:f>
              <c:numCache>
                <c:formatCode>General</c:formatCode>
                <c:ptCount val="6"/>
                <c:pt idx="0">
                  <c:v>5</c:v>
                </c:pt>
                <c:pt idx="1">
                  <c:v>5</c:v>
                </c:pt>
                <c:pt idx="2">
                  <c:v>4</c:v>
                </c:pt>
                <c:pt idx="3">
                  <c:v>5</c:v>
                </c:pt>
                <c:pt idx="4">
                  <c:v>3</c:v>
                </c:pt>
                <c:pt idx="5">
                  <c:v>3</c:v>
                </c:pt>
              </c:numCache>
            </c:numRef>
          </c:val>
          <c:extLst>
            <c:ext xmlns:c16="http://schemas.microsoft.com/office/drawing/2014/chart" uri="{C3380CC4-5D6E-409C-BE32-E72D297353CC}">
              <c16:uniqueId val="{0000000A-E5AB-514C-8AD1-542AC3E0CD24}"/>
            </c:ext>
          </c:extLst>
        </c:ser>
        <c:dLbls>
          <c:showLegendKey val="0"/>
          <c:showVal val="0"/>
          <c:showCatName val="0"/>
          <c:showSerName val="0"/>
          <c:showPercent val="0"/>
          <c:showBubbleSize val="0"/>
        </c:dLbls>
        <c:gapWidth val="219"/>
        <c:overlap val="100"/>
        <c:axId val="886364591"/>
        <c:axId val="903174687"/>
      </c:barChart>
      <c:catAx>
        <c:axId val="88636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3174687"/>
        <c:crosses val="autoZero"/>
        <c:auto val="1"/>
        <c:lblAlgn val="ctr"/>
        <c:lblOffset val="100"/>
        <c:noMultiLvlLbl val="0"/>
      </c:catAx>
      <c:valAx>
        <c:axId val="9031746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86364591"/>
        <c:crosses val="autoZero"/>
        <c:crossBetween val="between"/>
      </c:valAx>
      <c:spPr>
        <a:noFill/>
        <a:ln>
          <a:noFill/>
        </a:ln>
        <a:effectLst/>
      </c:spPr>
    </c:plotArea>
    <c:legend>
      <c:legendPos val="b"/>
      <c:layout>
        <c:manualLayout>
          <c:xMode val="edge"/>
          <c:yMode val="edge"/>
          <c:x val="7.808988764044944E-2"/>
          <c:y val="0.9071160530609349"/>
          <c:w val="0.89999984571006764"/>
          <c:h val="7.89005673103706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a:effectLst>
              <a:glow>
                <a:schemeClr val="accent1">
                  <a:alpha val="0"/>
                </a:schemeClr>
              </a:glow>
            </a:effectLst>
          </cx:spPr>
        </cx:plotSurface>
        <cx:series layoutId="regionMap" uniqueId="{188D24AF-D872-6F4D-A6FE-FD4238557153}">
          <cx:tx>
            <cx:txData>
              <cx:f>_xlchart.v5.2</cx:f>
              <cx:v>Umsatz</cx:v>
            </cx:txData>
          </cx:tx>
          <cx:spPr>
            <a:solidFill>
              <a:srgbClr val="0C5D2D">
                <a:alpha val="81000"/>
              </a:srgbClr>
            </a:solidFill>
            <a:ln>
              <a:noFill/>
            </a:ln>
          </cx:spPr>
          <cx:dataId val="0"/>
          <cx:layoutPr>
            <cx:geography viewedRegionType="dataOnly" cultureLanguage="de-DE" cultureRegion="CH" attribution="Unterstützt von Bing">
              <cx:geoCache provider="{E9337A44-BEBE-4D9F-B70C-5C5E7DAFC167}">
                <cx:binary>7HrZcuY2suarOHw9LBPERnS0T8QA5L9qK0lVpfINQ1KpSHADCBDcHmReaF5sUnbbp6zj6XFEO6LP
xdyoSgRJgJnI/Bbo78/L357bl0f33dK1vf/b8/Lj99U42r/98IN/rl66R/+u08/OePN1fPdsuh/M
16/6+eWHL+5x1n35QxIj8sNz9ejGl+X7//g7vK18MRfm+XHUpn8fXtx6++JDO/p/MvaHQ989m9CP
r4+X8KYfv//f/8uPL8696Ofq++9e+lGP6/1qX378/nf3ff/dD2/f9l9m/q6FxY3hCzxL+Dua8pjH
hNE45alA33/Xmr78xzAi7xCJRZpiIgQilMLwL1NfPXbw+J9c088revzyxb14/90//n3z8O8+4s2Y
9kb9EgtlXhf9P+9//soffh/r//j7mwvw3W+ufJOOt0H6fw29zcZxfGz1S/9rOP6CTOB3NKEUskCS
JKWIst9nInmHWByjGGOeJoKKX2f+JRF/Yjl/nITfHnyTgN+uvw3+8b9B8K/0y5cX1z72X15+DcO/
ngCavEuYiJlgHDEcp68h/qYU6DuGoBaSGBNOBU0Q/XXqXzLwJ9f0x1n43cNvMvG7sbfZuLr4b1IK
j79G419PBPn/lfAKGH/Yod62oZ177Ju/GhPYO5ZgLmIOrZ8xLvjvCiF5BzhAKUcxFwklb+vgz63o
j8vg22ffVMG3Q2+LYHf77y+CszMAqn8pINBX7AUsSDgiKcEcGs43/QixdyRJEQAzShOU/Izc30Lz
n1nQH2fhP598k4P/HHibgcN/gwxchOWlewqu/As7kXjHOYPwIswIJyz+PSSwd7FIsEDAAGOgR3Db
r1P/Agl/akV/nINvHn2ThG9G3mbh4sO/vw6ylzACb37F5l+D8a8jAkUQaZykrx0nwQz+9/tSiN/h
NE4EFEFCKIvpG2j+k2v640z87uE3ufjd2NtsZPm/PxvypS3/0qZE43eMoFjEWOCYMRL/nqWSd4yh
OBY8BQaLUYph+Num9CfW88dZ+O3BNxn47frb6Mu/JPr/d/3wm6jKHsfH/Gc19o2E+OejP38iqMQ3
j/4zUfdLEI9ffvw+gSbzm8R7fcM/C/CvD7w8+vHH7wExYpwCwYVCiVkCVTK/vF5P3lFCEBMihhJD
kDgA/N64sfrxe6g8GlOCBacpjmOewuzehNchIt4RATSBYwCp195IfpO/N6ZdS9P/FoV//P5dH7ob
o/vR//g9dFL7y12va+Sve4YJSoBYp5RhnhAYf368BYUNN6P/EZN6aYeOUVm0pFddxa8aT/PZtfcF
NidRkzvaUqf8Qo/fxOcPJsbwBf91ZgYgStKYxIS+mVmb0sx1SqjUM5kV2Zr7OqrvaeX3aPtqcXxs
u/GCtlVWG/KxmPGneFofA9mul7LQUpy6ky6rQnI0nQSebzier8/+Jg3lZeqvQkIOZJiPZdiXuNAK
+6qXUdrfLF3/+Z9/CBLkbRBRIoATEIwYpZBqCnn8NohhLQsWF0UiNyJWhVC96xfeqcC2T/Xk0I4E
8TT1nijPJ5HX3Xb0rI/23uDP5TI+zUkqyeKEYptJlOJtyQ64aB7qqbLS8+XrNAanaGERvLfZlIj0
ZbQVlcI2PVRYJMoW/LEsqibzHcoJbs8as5dSYLiw1IUMc5NRJ3yGh0bv0qXFchkFVWs8/zSJCsuq
zllaPs49bSVzDZdRl1xEfPpQ9F/xA+3fz3H/THgqdeWEHAONszJxTjYEFjyOoVDE6UZ2XE6R+LrG
XaTGKjqHYr4xLDpvgdQfNXbNNanDdfBPyxgnam3RqLRvWxV1Wykxv0tDn6rZmStsxVcduuPQbuW+
LyOdNYP4JCb3eQi0PkWpvplvCe5U57s+K6zZ5JYOJx+HWfmpveQBq5FUnaQ2Pr8iWFZ2iGZNN7fX
te9HmU5YjuACqXgsX7d9cdjGAfJXN+Kk3Txf4aU/YV62chhT6WzbSZH0eteGSpakIfuwpaVsi2nL
oqp+DcaRNsFnbNAXwZfRQWgTrsqk6VSki3VPOrIpiu2utEssh7pZ8yYJ+z7Zil27bruoso0cGGoz
U7cPa5irzBKKFXVrIodhu7f6iQ6jkwKXd2IoguR13UiwLG6aalax5/7oykK5jtSSjoMsy+oqcXgf
mfjTrK1XRjCRORbf6TBayd2UHjebb+tuh5e5vkBdVKgtdZssK3HGjm8Qo7RR9WIjFQp7IHEXZMoK
nq+C7mIyMmnQUKvYKkeVn7f7fhlr2aXNe9Gai7Ysn5om/byW0U8FjVU8EZvT2nO10vVg6Vc7mzSj
kQ7ZxNDROPOeOH+i3O6jJRziqMFXGMelFP0GCxjbm7Asx0CrekdwdeVteeqwPtKiyMK2rFnBhjvb
pUhWCW2V4+vXYSxzviAk15gQya/bwjwsG0PSL0fWZRabVYqymBWduJNLiFmGlvMaWSd7O05yWbbm
UHtXXZcDu1w7AVFbTZmPKGi1keRUrNvFFEVM6l6jnYsTOeJ1OpRFvBv7ZbpZgmRdLQGxT6kLn5u0
9nnpl0WudfVJI73JeWkfqSdEkRDJuesuCBKtWnn8UI4uq/oeqXj2R2Km5Oya5nJI+iSfsXkwiF8v
nHm10HTIWwF7qmurVjYLfe6b0Cs2lEkW8/5zG+OMsPM28kn2wnWZQXeic0atYzxndTpccKOdqpYI
HQChVGNio3rvAqxnMnJo212RbvPeMHdn2JBPjRnyOggiqSE7bEIqaxFtso+ol6/V0SzGyQLhSRoz
7/jZTOwCY7ZJJGDDxm4wMsTr2Rt+FTALiq39XdUVJ94XX7eyaeRC0JfWLq3q2kHIqaKTCtqV2TC5
PS5xu1vYGElCJwgfprut6OpMkN6r2krbJdAVRWEz0XaF1IW+Kw1RES4rWfTOqiGab4pRSx6vdz7q
8NFNa457n8PO2JQpkjRHa6PALByPNtX3s1m0ZBYD1y7GzBubEZE+NQg5yWrEPiELe+yLaeOfbMRL
KL+x2NfduCjiw7Uv7RPGxefCIfw+LtdWlrTw2cIKp8iJtNsnPPZYuTrmWRW9p3p6itItuWUsfaxq
KOu6+KAJJLjj6SKjaEx21rEdYvaDi5jfjVN/HfXsUs/lqEa2vI9JVGfdQ8LJlqWimmWZmB0eIFTW
zpAVw0fVRhWSYWse5i3UZxe3cuPofbOaT5SbRJYuRXvRH1dzduNUyqgi5+EDsrC5jJEzEh87nEJu
V/O4aAvIYd0gp9bIDua5CMQaNXapywrOjELpBxu6RTFathmr2GON0MfQ9q0satFJtAxoV9B6b7dh
VQ22J5fScTfEy21veda2A1JLA+zDjeuhNcVhau1nx9LMWxNduHO/FcUOVYOTcx9/4PXw1eP2eli7
41ZqKnlRAU8g3e1gumO7FZ9D1OIDDZbuG51mod/Mrkmjr7MWDzV0DTnr7a6ftuLYWYP3ovCbYpEf
lE+sNB5vuwXqMN0KcxoKW++A1tVyCJ8F4p9DnEYqrXgHyEmOYXSpGhs2SDKwUuGkUcKPqjPTT6Yz
y1Es1fuksel+S/XFWiQ8jzfWy3Q+ue4yqnisXKgXpQf9aYmr104wjJmdi11dzoo3TSenrr2N52WG
gup2SeoWWUX4SbetrE15djwogK0pSu8BKlVpidLtdOybKiM+0RJ1dapSS6zq1gU67Mz3pSOR9Cm+
qSGDZEjZe+LHTrJAUjl6Y7K2WasdInWkVl9Dcfr1RAwmMnjYQoavbY7NDV2mRWqE+h1mwyTrobhN
efQ0VkJnbF1SVaT8wS/8rl/TKuu6/jwtvRTTR+Br8C12zSipYLukaZbMrdhtg8+6dLoq5rI8DmZ5
b8ZOy6YzHyoGjWRcn5uEb8fWAd4Dtl2FYVov9RJq6eYm3ZvqGDR9QA1/RPWFmeLxcij9T2WMbtwC
faXh1dVmfKFEsi3S1slzqW1zgpireVggHjgUV0lXX0R+PiYFjnYVQe0O9+PXqBhlFCQF/I+aMp9n
AIt07pycTLDK19V4OZX7JNmHdb4a0uDu9JJ8KOJqkx16JS5JMxzmQixq3ciy71t+zagFjlutlzXu
jEwbL7HnWZGW92CG3EXOpnKu7EdreCuhl8m4Gj/ykFK1FfRp5vwcWb9LenrdTVzNy/iM+FLkZbJm
oayQqnraKNz0P9FFcBm06NQ8i1aKDZksnuztYJ1is7e5a3Sh6ugxDR2UJSeN3I5x2bTSk7ZXtYZ2
n87NLaVzbpe130+JvnpdTJIW+8ov+ULjjxNNroNYPrkxXQ+D4cON0xiozJameQ2ABdQFJ7t57pVb
bXnmgJB7zwDHYnynTbqdfV9M+7XyHzyOl5Nf/EE0k963a9Uc4iI94lKuiw27YiZ9tq+xE1mVQmex
TpS7KTQPy9ywOzfsdQTEh9Jo3tnF0TuC+KT0UieX0Enu6rSEhoyKMgt2PtIxYjsg2598G4ed20bA
BTTcVySxh2CX+pJ1pszWYqvOifhiUoEzLsIit7maTpqRcIqXgHMHq5E+qzYHDAOESOznUlbpTqRb
qTjCVi64Jxkeky+JnrsPa/HVT8zvezOlqg2hPQBDnaKtvFwHGk7b4vNoZH1GXFmraPHHeWxtdg+M
F90DXB+TScNWo8t6sbUNkT3d7gPB0SfOWK458Q+EdGnmauF3KwvuACErZN0wl3HgelVdgJSiKmoE
UXbpUtlG7cdK9J97u6UyXj6NVS2u9DbiHMFshSifRNhWuRbDc01rcejx5vJyLsrPuLMvzTCNN20j
hnPUsMuoSd4D3m0Pg7fKbHGnqO3rfBICq7RkTLExuepMvOyXhbRnJFaoq7jyeWP8oS+WWa0VOscB
pcD7zJqReHiMZ7yCwgvpsTUYOBCe79DCL21i1l1JHVJlSDeFSyKLyDDQYwICiJUBaOLzvu7lpsMs
64Ilh1Ljuy347ZKG+VSj5CeTJju9BS2HuOSywukgNUjwwxCtvVzaWeSkaGW0pVaWIXleZ+KVrcug
TJM+YALdyQ5jAD5fX3emOoPIa6PyshvrB1pQeu5bfUiwB5oax11GIiB1P/9gK5l3M+2xLObA1Byz
m6mJzX5sqJwHuiN+NZds+UxGv+a8XEE164OIzYd2HRPZsTE9U6YbECHbflrRQwzCYdcULXzrFt07
OyQ7R+iuEavYR/0qbahTuXrSvV8RK09luQwKwTzGNQBzNWDBHANNSus4ko1xwxWNiw+LKdntatwH
37OTmaLnZamSI48uyr7dzvPGnqMWYKeMjJfx1AbZkmSDLu9K6IrTte7WL5GgSLpBAKfbtDhNsxOn
cuMPWJT9zs5bkbHZfVqsvu5AAqgYOObSd7IOtDs3oqklFI/tt3SX1DOkMASRR43Z26EYQDhW0NKS
UZpC3BhXJRLpADif2DMJDVbW63jv4+1zKKqvZgWWbGb9AjpuhDYOVME4L/J2Wi5s3KYy4WJQk5+p
Grq2U+0yRAoTe1W33GbrWEy7MC4ICOUWzk3Kp30UJ/ZYBSj9kvf4TEt7bnQfPcRLNex5NKHdhLE7
jlW1qUk33VE73cpQg2AjLIznOtRVbjfH1JBMLu/6AIS6mOxVQHZfQjdmkNLAGg8ESayymTDPJ1Am
bpyBSq2Iy6I0V3SaPnmBbxKoSYmm6mYqdb2bO2D2MZt2HV5BwI7uKhLpPR4io3j5hMozSXkt27XI
JyI+oVU/ky1uDgaR3bbyj6Ee7XF4HuwAgB2t8RFgEEq4Z3IrxptImOqQdt0ZNHGfiaYEZj7wXoZB
diNi+TAd2ziGvtlPbB+wpEWid307PjeQ+CRUwPime0w8vwaKp1kSzmGNnBoTo0Tbgsmw4huW9o+j
4JWa6BAUSVFy10zHOTYe9LWQM18lpdvVGFcPdBxfKRu6EIM5zGMV77vQXpCBf8EJMhJ3wDzo0AzS
IbrmxManctqOy8QbFVVTfNVMDGdGx+3O6BXvmRf3iDblmWorFBptr/qaqdEIuwf8KTPSteeurWNJ
emAMWttj0ffhc7evGADRlPZ3CCCLDdVNs8x3UzXnJABmV46fLGfxpSkFBKrLMA6VSniJgGU/pFML
jsiwgcxKB3KYqJEbbAZpy67eR23x0PM+utzmIE1U6ytbjw14M1wcEPKnjUfsXOhshEZ6qE37Ulag
8EgF2sYNWEUDSNW0r/V+XAlEyLpD4EAlgUC7Qzr2oAr762ZYAB6aAuwAdFn4QrYmuRvgPEyZpP5K
i+geLQ2I0deao8JFUKp+utDH2FexhC/ne70IexqG+soNzl93Iz3EW9OAfI5DFtBUfqhaPJ+6IREy
qUyq4tKx/VKMye1k0aEaDD0PLNoNsyW3NWbTkXYRAplRA/Vvw73RU3lvl3EP97hhDjepi+gRgtWo
0Hkrt3Hz559vMqDppY9CrQqMgqom21353u8nlERXZmtUiWaflVMXdjYKGYe/1rlpys5nRd2kuR35
PXdCnMPIs9j3UFodEkdPmj0p3cegl+7mlx8F+ThaUylLZJxEi4I/7kkPusHnfp7T6y0xACBJO+3a
Ce2NiCepMamOxTS8zA25F4SXoJGp3xfpcFtrXsl4aEpVpcu9mCXYSWueUMTzQehLoC84TyPzYDEU
P+0WIlfj3fVixou1DhebWEB4k0FtPvnM5vGSVk2sBJtYtiGA8UY7+cp3zBkMkUTWloJI5tkQt+5q
W+o+86Usm+FmdOyrCdUHuvh551jQGZjMQAfxTdiGbe/K+Nb359oGowpOvjS2o6ob9jHWl2UMnp5Z
51rG0dJlhV8Pfbk1mSNAYopXJvHIC03ka4X3PD7QlTUgLVrQluMQ56sHQVaYbVfCIeAu9VbnpYYI
dTPaoQjhPRHzqEpmueyqKNvAJ2w7cP9Iq4uzNoBdk+EIWLT2ap54BEcJPYISXaBPxAcRbK26qTl1
LchXYl0vfbF+tmDOq6pzo+RJBQtfn2DEKj37NudDlSfrgmRkoER0F56iFWhC6OdBbt19oukql54m
kg9NULPHKGdJ4WWEKM1Fmbfr8gg+PxQecBPrqmYnEndLp+EZjvpfPVWS66VnR7cOzx6or0vsdHZL
fGijKJHMzEOuB0V90R+wA+XGo6o7627bNRiDM0GTL7197GHaK86sl12fzhDXepbNBuILPI+btqxP
YHDGuyLnGJpzObZCDbM3+Rkto8k0OElJzPIlQBkT2DwOxdGu1uA9YBQ/uiBU2zYMmn9xu7U9uFyx
rlVLiYQ+eC1wsck2JjBX0DfVtl7SuvWwy1a6T2qeeTJKRjv8MV3E11RMT73CEftc4wFoWSh+mheE
5WxRoqoVumECfk43UVn1yyrda5Bdx8DctZ3SdgrvDRhw42jIyXZjBYZqml42aDzYZSA7YcGR7DnW
WQv2uzQWtEJb28OI++Psmy7XFjCDsSanrB4ljmsDmys5z0MN3AH1IGL49QaCwooOZyyqlSfDcJEy
Bpw+RKfFfFirqjvxDQINPnw2pEtWMi8hk9FtOhaFxD1XbEkjcJTHeu+ncT9uJFxUeMrr2sRAEodj
radFmba40HBEovgs5037fKw/dga03+IHt2N63nfLxUZTMGTKA9alfh/i7nbiZpKgO0+CpdOZ2f24
LE/zjCfF6vVyMh60Y9OtB0zQIZ7JTwy8sbai0MDK5pb0PfCodNDQgKYpa2cNxgqs13q0gSgp70Mv
dWSfqgW6gqiXa17OpUp1qZp2SxTRW7V/TeTGJNARIUlTfWh4afK44VdD61sFRLLu6IXpx7wSfl8n
Vb93nn2yncg24oFS4qHYt+0F3mlt4h0Dp1e1rrmcG5fPBU+PxuiHtkX8yJYICht32eqrMwuryRA0
nXq45mN7N2hPTn5r3hOWtu9Nt1xFLlblSJ/REK7qur/xY3OKep77Sux02QGFJeFQNNulrdbo0vRf
kpGu+5RWi0q2+uRi1oL84YtsEOh/bBMQUFVQdDPQQZKWSA8WtFpL0ShgjHxcrewgVLP35U4X4Tmg
bp9GCXQBIXYCxA8gOtEAiNPNvHkhOW64aqJ5ePXrMrHA3jI12EPNUr/ariXbswFOAqaWd5Cr0YCd
FFVydfpsEFVwJJIlY3rVY/ysx7RSUTF7sGJK6SizB+s3IzkHzm3guFjxjmvw45lWdQJkMOY1kqaS
hvWzpIJZhYuOKbB6d1MRJknIJRtAAroUnIFWj43q4W4oayrtZLYDW0ZyIYAI1q2+tH0F3d10T3rW
ww6A7pMwJgLx4lzeV/2qpqlvZNnT/WAR4FoD6RHxEw1Z4WYmy+2qG9JDs8X9RawhrFEVbh3eaiUA
mRz5FGsQsjH20AV68tWxbR/pRu9h74PZVAI0pDWcPE0kPaINBGo3G0lRzeVCQuYHcNM5CX2Wlusd
52seigHande36+a1ggM+aI3dhvOYmAMHO6AXZoG4NEIJPk2XXek/9dSegERC+kyr4OwWqXU4uIhv
qplLOGKhDCwShLpd3NfQzsP1at2VtUulSrJ9Zkn3FXvx0Tk4x2FznSMO4iARhdzKblAlnT6JGX0M
lc3hzIfuZ+2uPUizfhw/rQ0cJK6bK5Xd4LSmXO7BQjqwwI8IDjlUUhCnOlJAMU6JElVyx6j50AQa
yRp/SSvks3Wt5n1D45v6VVwYH+Ydjj+irVtPS7Tlgk5ZX8Ompt7uxgpkctkgBQZndCoj9xPiHXh4
a9uopUtyYDzAMckUdiNf0WWqyh0op1muXFf5SszV1o0Pm0XrMcTxsdjofOj7+HOhsb0IcCHhkIYV
NLctokEOyXhjFlRJPaMmJ0n95EbdZ4hjkRGwiNfksqF8PeF6Pm616FXKPYW9BP4m06tWZoh+Wlms
KnjRSRf5Go8toEd1PdfAy23D2Z7y+YnxeTovZJEjwQH8kDIAvag+RA2q8qLPMdJfnUXimvTkgGeY
ulvKq6iZ4LjFJODTNuSAeHzf1NAVCRjhXSQkYKHfhXS5Lkc4FymK4M7pSmymDRQYniHQGnw7GWyT
AaaCPwR1C8dbXG4ohVPENDmtJk3PI/g8AC8tmLF5ZeuP07Jd2a1iO9uUD9FgxTXvFwIyB44Xy7q+
DCRqc7CsgfnESc6q5b5e7W3tkk1pbm57Xd3qCbh+EkeZqLf7ZHFI6qaH84mJPRUEqQh8EViE+WDq
hUkMQc8AT7/2jN+sBUi4sl8gUKDs5xIESFWwcd+INAcuovdz01QqHrb3dsV5IUBuLIaNx83V4Pua
i3EGO3iG8zdJW9vs1q7NhOAh16wbcpJ26LQCu6hLKJhqXObMOfyUDMOHGb16C70OamMLbKiOnbbO
ZosoTtta4wMcLNxUUaeasgdtVy9gApftnPkwJQcqzHEa9Tku/SE2bSW7stSZHS5sN7scc7DjZpzr
bU33ztkzGkeaxQv4mG7kh0K3d2BoNXzLadxmXVPF/4eSM1uOG9e69BOxgwQJDjd9wSnnlJSabN0g
LA8EJ4AkSBDE0/dKV/VfVf/pc7o7wpF22pbE5LCx91rfQi4dYlLBmlM0s8xTlO/CyDwmq3hNWsFT
h/mmYP2Wuk1czl3L0WDve7PdYOUtmYmXJy1hxM31K43DT1ei1wiNp9BsNxBCQ5MNHWtz6zdxPlxY
7zv70bcMbg7IBr24NnWUuOE+/qzj6teyXBOJT9BwS1LpQ1Uamck3DHSpGOVpGLvgspFO7rbJjfOe
Tj+iburTGVDDMvu4sLG8WTSu8fxIFs0LK9Z315ohnzTNsPasqblM/Tqkc7K+6ZEyqNfR09Lh5Ed8
+iEJeemcPo07aC/tFn4ZNxS0KeoKS7d+tw3xkiYdeoa+hcPvtc1bZzU/iMSlqZnkobUVKRms9rI2
4xHSPJQSrO1ZJOZuVzUeDDAOPzui/iEy4ZRVURuVceNdO895SL6ULYHj07GFFaaGcxq1eO4xUW3Z
mKgun5V6i/vlp9vggNoFsIE7m4/J2Z57CFDZlizsPbB36cZDS+bEt0Dy+mrc4BgamK2YFYcU6mBb
Tn6YpPUgvjzZykXHpT14aZt5c+XqZ7aedtTwClTBWNLJedVKDxgRqC7cKZoOSTXcZjM/LML7Nt5X
7d80yZ9A059czB+Aznc5YOGu+J8Rlf96+z9fZI9fv0MUf/3lPeHy17vL/47G/Mf/tfsp70Sk+u//
6X40//W9cDB/Ht2davrHm3/hq/4NQfVH0ubf/OP/G14VA//593jV3ynkv5Cs+9f8QVglIKkScDlh
QJMESJQPUPEPxsoBzfs7uRHFLo3i0PP9v0NWbuy6FLfnnb4KI/IXZOX9Dx8BnTAOQh+sL5Ty/x/I
6s5m/411omBYIaC5fkhA7uFdjMP7OyDU4kmb2CDctOvXba99ExZshhg1acLPaz3zMyArv5RLpJ8l
au8qPrAEOiiSMxVpZO12NduwnqUdqvRvJ/LP++3vANi/HhswM+L5lBCoTTiL/w1eAqszwOBTwAN6
+LnVgr6JQtUb+eY+SXAvUMHImDar39xxlQiymnb2YoLkk2wx6A13jnMQQe25anwv/88Hd79u/zxx
NKDxPQAFQg2/Ily8v584OdJaMrdF2RmwygTKp5lr9XRlIqbF9nWF4Hdt/KQvWjhReTU4wXPr0FzQ
V42m9bpM34bOBKWDteg80SMDA/cqWS3zyMME5o+ND2VCVQczwDZQK18K261xXm+u2nUB3BpnDY++
4dPOiZ2DtiIuQg27IvWG5Ox7K3/4/ZIkFeYL3/UxlI30/3ISvPsV+IvRw/1CE3gUrgvqHzi6f2cB
/34SAFmEbK4gLP/xo93KPfgyN6uV7zwCRzGtNWSU4IUklf+Kcnry0Fwf3LWzh9+fpldufZlZMj21
DeMl5d4fWPkfOa//wz1E8aD88whDEuAx8QKChwlEIR7Mvx9hvYRRwydHppum0JTXekl2VSUvcJ7t
RZIpKIcohrwUzzi1XF77zusKTT0D+aBdS9NtHlATIq+NHfvcKigaxizbSbQbfeZ1/5lM4UMXmEdg
ZtNhSrboQp3u0W8775b4fFet/QYjC20mliD1sDJDs4R2eQMjL+NEVGfV2PY6oEV7dT1xtEMEhXCZ
yQHd+nT2TJWBLPE+R25fQQrqhxliSAwZq2Q+xqkhoc0taRO+DyrIVTCKc1jD/Yu/WPvwn+94+i93
PADRBGcyDBA3Q7W6n+q/AZmBCWS/hmAtOBZk7XbzTdF6LlSNectu6KgG+siEJx4xW/iYvWX1MLTq
lzuy9WEJ1b5rZwk9OWnEjk3JbXDldOnD5ANfC/V926YLXO9PaYW6eEb5hdUjFmJ4pamMA4zEMDj/
uhwrPMpD0nSi6EbDnw2ZhzKclnMQOOCp1rPPa/pYTUVnKawHqJBRzF6E9sevNtr8bFHblFrD2nId
yFzG0BzKVhxc31G3KJyeNNz/h6nvn2vrQpABUHLlSvxIOvPaxcY7VnSp/ghi/ftbNYn/ebNGkLB8
gjxZhLxZTEFTu/88w31chwk6szb11sbmmwn9dJqTqzHkaWxBNDiehX62UbKTMURgwuEx2Str0d1X
87mWgZs5SLKdt8H7iPsEYKbuLwP9PmHSvzDeQyKRUZRuqy2aOokunSLAJDyH5BC2P6cKiBK82gBA
DPnF7w+yJeyrWSExRvCSrOc5KaftrhVAdsApqVwMyXQOR5L6kNUy1gxQHD3vLP2JnBZI4RwCYTS5
TmYlvcVN/KrhRpDW+RiBlewHSeLcTM3rNLu7ahiP/lK0fcgLSomP4ai/LiDz1q2YeOPfAc9b5LaX
msdD7gXRCcAIjBE/hW5z4/36NCQWvZYdzyRETxYwv/Db+LNrGlyy7rnl1buDltWD5uF0Q4r4zJBO
lfeq2uk58p7tAIIgTCKWdSDzoKZhDCXNUx/qb3K7qX4GWImyqyC/PPT8l17r4M0LujTqvRRxEHqy
ifcYO05zSNw6yQYt/AOwHQ61l86XScymhK0AbFEq8STEhbhxc6PtA6S42T4yHUd5D7kVqo0Oh8IT
OAhUAQ9tcB2BIImhYdKNFF61ykfiVrshdr6tvZuUatoe2nYjDxg0/3yhxIV0TWFbYcLaR7q3Xwgs
j2hceG4CAsLLAntKqqC6Kd6sxZLw4SHaqmbnjx49e1LBOh/FI9K/8W5daL0Dm8QeEQpGbx116t3j
9hfv4vjHmjQZuBPah+SqHI8//H5JZhbszIazXDFARp5mZ92zyk9DEYQFvgEok4HBT+L3kiv5iha4
DX4G7fsgK85T0g+H1mzVj4F1X5tkkR81VWvqdBK8dV/DwAjo+hxrloN8DcF2CXV13S4zwutf1AQz
phoSco7Y0euC6IW7+msASuLq6ZC89hQcgfVPUQIScnbm5aXWbUHCMXhvxwFa3GzLsfbH3ehU6tWJ
kje1AUMKJqAEw8j5o8V6nyQzfZrobB/0DIm8MvI6LiLIZgq9AJxygfIZHxJt46yP6QbVShpArD4v
l20gz8DGMNDiHnoNWPXNRER+sJE8yc1rHn2fqqxydHKUYgEzPU+/fr9TTTzQP/5h7MEMrsHRutwR
dwDMOf7xAtto9Kueo3bQIOf3Z3yEpHzsIgTTZf0I6lc8VGQZz2MAm2cUHOwyu3amTQp3mMHkJPYo
aTI/zAoEhGQSvoURW+kronFjmwqeA6zxDEHB+PzHCw3jjPsZgNsFxkY2j8t8+etFEdbuteQqTUZc
HK3YDuzx+oUpN9w3OJSsFpwcHT2ycxtwv0y6QJ8imKQt5+4TXH6RkmpYDqRb2CFKgrfae3Lq+WfU
V1Np6vZJrNv0EPVjeKIt6ADCvbMHO/AbPGVpuP6sx5ilZLZUlQEegN3ku+15AMN8DBqV/n4n+MJA
NW/mcQG36TRaPcV+7Z0bTS8S3/5pHoOTquf5ULcgsMBIV2VL7ZhPiyR74KO/VE/IvcGRWTzSd1nz
52FzTSaCYPsCsQxqHdsoBsgQDZrrLmoHK2c+aq+dj16st70LY0E4qoFlZtebakycV3Pg7sySO10y
fHXn9ac3qc+arOoB7Mece1SgeyRudxxj3HgMgOlTpcQRKNF8a+tw3IXTLjFE3VoH7uCc3DrMh8IP
4NYkcob77s6P04bwAWGE7SFpgS+fm6ocqriIgsY7etiEILNb/11iET6D1icHsrLClUd383pY4JBm
O13XXyhtRObAAzFBBLY1Wiv+pdPJ9oF5dhYvVM9uYX3o1PP9bYsRHQ1DHN2Srf6pF1y93tqdB6Xr
EPPgGcDXdvr9skAx3nly7N78ObG56Bd5NlM3g0GcYIsCg4DXtolcGx+NxRroGQgYT3ZBzL65sS8v
1pnR6YV1gCoqgiIEjLnHVa6ybQr0jQCaPk4BZu/A9vrmNFV/rpLuXdNwuUlnWW7QG7e8Dtw2dbTT
pDrg48Eyl562VlSwdiD5umg+T+ukDYgwLNfJIppT7QQK+vj9j7/f//5TDOs9jaEtGrlUj7A26vz3
R2Oq7c7QlSd/1GAB1VzE8VoqXNK1msiZDgGI8Lo1ZY/mBcydR/b+iH4TT0ey460HTA2GQDn4Ft0q
FqOyb+DtsW5bz9PWTrsqBJLzu/e0MO7jjoD8ck2hiSUXdDrTzi7928hE9OQYG4GQj+l9pfvx+3O6
1XAAj9M/RlhIskjBw0jqaHqyugUjNPKdR2ZRwAj3X7kcMESKpfBZpx6S9Yi8/FiC+1zTMYrFWW+Q
Lwerj87YyzNxBQrsBot4Hbl4gQpuM6/WDSwSzsoqqhIgDxXY3dAfnysITcT3bg4Vcb4VPWp7Cvy9
xqPNX+wkz1jS9K2xdt71cTKlTRM/DYbxtHFXceAj7NXR+stuTex1GtzhaY6rkwqX5Vz3YWGbavh6
d1yho/hEv25iiI+BiadyjmlfSjliJY797hrZCIaDM4iSz9tzgnHhgqdR3irxcx5AXLeBFTkxpnuE
QzrktnfVs0M5nGlT/XDpOpW//3s/kfpYhffuQ62fi2fr8ziS8bluvQ+51RpORj09L31V+nFCc4w3
EuqufHLRkubL2vyMLUD4JXhoGmseRqQd6hAjMlaVYevVd9uQH/4q+YtPV11wIPwVkilHtenrpGEp
R94QX6KuleepxdKFAaSr+FhWa/S1buY5HcjaIoCiHwXUjJMdXC+1Uuw6f7oFWEiPaFHWK1EwYGbd
nt1k8ACCQEUdapIasEykfm6CrOHBR2Ca6rAScGpRjRZxsHNd6vjBX2HXygijlhFJ3vR9fXETtKbd
dFl5075us74oLZ+U5+BhWZVFsfBLw1yZy7F9a7yKnhWm63Su2yqlCjZD47/5uOtPOHfadmVoGM2a
bj6NwVYfByCOTRnpwd2xbbv4zSwLJB/61Fj9meD7VJUuEsCFYFE7XDWnh8/slPOoM03g+zLnsoVO
kbiYCaOl1+dwipqins1W2GF7CKG154F1cuE24T5YgnKJZrFXtE3bdWSlUfTo3yX3BNDpdalu9eKx
EiI8mljhoE0jzmnwY7OT8sHt3DQeVPUEkw3pj5Eq9HuQjpdnU2mJe+uX07h+qbsjcN0z4pYIz6C5
y7fWzRM7YhVotQM4YPtwW7e5+f3OUV0ayBtEgOiIjSxg+kkcysLXp9Gq0gz+cJpbeC2ExUeo6ujZ
3F3CF/CFq3jAKILVcCImn05j7eqipvmEcT4XRAuQquwZWbFk71gP4SE552GyfFCRRBntu5+Inl2D
UN5lTqRezCJKElQjkO68vpvg9ezavel+2GTInYq7Z6CaL7yicj/KWOdGo4bBOt7D7jkvyD2oHrdl
tOFujznMAtasLx6E/oImXyOsLelUD/DnI3AtzJPvTYeMgkYaLWs52ph2itJ1+pj8ZMVnYA3Ww6+Y
rFElVyfVtepL220/k601AI/drHe9N9pHSDk09XTiznABRP9EVhgZxEfgqGv6S9UmF6QnXqPZr/JV
UrYbVfPQeBEtahL+WlBECk70hp+Lbm3zvgof/B9W+C/15gS4JnQpt8Ee/dhhZcBMl4vAHsdwXu+z
qT5v3fqo2u9rOF1rJEYetvbTgc6/Q19nnnvhfrivC+77fYKkTsYt0K9E+aUL73MdRnu+ME1yw0ZA
hpGqQZeEDws18hxvg0iDxn7GgJ9VOAJ3GVWch3VFj8YTxTZ0GxQbjFAtAhkDbUvNR1Pw2b95Gwa0
ls/p1t0p8UFQlMv5sHIPfuwwRUgHCvcKMOmivOGFJnosw9G/0mEZjx0Ew0XjdvYnAyoVyZZOgL9j
YjtV1WzO8OhTF6EEsPYIO2zbz6Zud6Si5hDMMBTdoccikkwn5Y9+OqKZbHxHHqDyvdZ98Aja2gKs
9t1cyORns63pAjy5dFWPiN5LRDo/4zP5qKQ7ILHGQ+BTKKfVBp0FOILavPg4bLBPtY5Agq2gvsIq
zCuMmJ0dXiok5XrWwfT0VXxO+lZjxm2mXCMzhlb/2Pd62fVD8yocljwnGqmcxlU3MBAghMM5KeL+
c7UCBn0V+1nIIduZDXmjpF0O95mocZAXWN0IF7/BQ9ICWKOeU64xB85kcQsnKEep77Eh9bB4hxW7
Nbq2p3AcWUoHs5806j9fwORGifNN3B0HgZBcQsf+1Cm4Pn2y2gzq6a8a2kI+uICrZuMgrhGfpdNZ
rAb+iVUBexJD+ISmCoyY/BYH8ZPBBEdk925l9NSoENyfoVVOo0nsthjdSOyL3DaBuKgOQmyvujET
K4YpS+3OjjHEwNk7c4BEEqZVTjBQ4Z7cUm8BlSUYggKRkQ3cwqW9hEm8FmiDfJnMObyUAc1yZ/Yw
576P2KoKBWE8AOVQuR36IFfxlTY97GEtfiC/fKs2SVNh0WKHgKvzWPbQhXDkGQVZhfY7Nz5yPLhD
YIclOK2ckcyT2LRLWZQI0TZ53PQHfdcjWIhYSzt34No4vhMMW8BT48VrmLsHJXhqdRscthXXDCCz
t/ddOsJzJykQeOQyZ/oVooBMif1QwBB3ANbhT1fOoSOI3Y40OVSKgQUO7FII2+8HytqbkGExLO9t
WFUZeAFVxpY+xQxtcoU+LjNE0DwmDPMtrTEqjx5qI5gL2P1LunG1ge6BEEGMN2TCxTlA9BTCt1c3
BRIiwCNRSwUPdNZFdSGcdcvW2Ow9XXc73t9hccQUpnibssWdcA22+ssEUFLr4XNmAs+tQ8pQe2Pm
c5mUAzp05A/7g+OrQ5ysX7WTtxX9udWgByhswYanQF4QmwxA3oXPkeUYYeCUZp72DgjGbsAO4nLk
K0Fm8r0jbZ1RCTivjYHjuOhfF1DI61jrNN4SVoZNsCMQFm7RsD1VzYwWtvXavA9REohoaG4Zatla
F3xpLlUwmoy3CMDEKyR2OmIpil0gVI2x4GLh91UKa3fozIdWYWYZJJLl6O/BJJmlzb0hLFyBgFS4
Mb4njB48qIAh4mHp3W6o45EdGyTPBso7OMVROSk7ZXHnDzuXj22+crnkdoYhvw6XSe2wPYgC4Iyz
boAXYShQJ0hD4QWy8KRRSGuCEBxtoQYH7nAENVMXkWfetwQL/CBw7paJA4fCiFbLOt+GqM5jF/GG
lYRnGzRr7vrLXICFk3m7kK2AM39aPTwV8RCXXjdR1FM5YIG7s1T3uzIUvSniQH+QXp8C0n2IWs2l
FA6OgErcKmNw4YHMe0TDszh8njdg1gjJg1yJs+me6ybKFpzeCxpE84CofEXm7h4uBA7zHlL+6TrR
ktf1/NJv0fO8jG9cLCwVWiC8o00Os9YrKXJ9+0pmwAcrLA3sEmB9KGNmwPiu0T4QGismFfDnqftJ
IH3l4+RVhQrvbR1A0HvO+XnWrERzGqZNmDiXdsbsYNEHpaKL/XSI22JaZwSba0QCTY10BqoDin+F
WcsYSKexRX7dq/LZAEjoBRi6hrw6nEVpN1hgYGskLr3rZ0BKSO45CwKnUeQcNUeNiwMPz9C2nJTh
bRZWHcEHjBxAvFhT+7oqkKdtM9ynbtm6+BpHv/pJMx95heeKWq9YPXUPxGPURRQN/WyYRfj6varR
y7erwAVu9FEy0FMWbfVZ9fKqXMCECfU1zBz8dFBfAAWMLXq3uqLThxwYoLSvESL1s6yzHoVvtVgJ
ATcPPgQcAEADdF2FnzCHGGWRtxu2r2O8ProD1JUKmi6UGPqkNvPA4xaxG3fBsEPGAv3mxoC6ER6l
QwsUiy0nmAQUJa1VuxgJ7pQGNTAYOFNIgNrgChm/wDj7gn2KLPQ0rCW4lcbR2cFMm/IxgkqCeU8d
HV9iuJgaQAAI3BxFh2Dm3FbYjGCKxckbrDjRiBk05iiA05rsKxtM+3VB2Bxp/dxjEUYxwkzRgF/J
W3dKyq4yqTs13TGYx68jrs/F+MuhpaCZHSGRuOLkct+oQG89mDo15JU3fp3NtB292WnTIezx0Ls9
0qXeEWPk9gailebRgPwxxXgJgHRNla6cR4yX9b6lkpeBgrGvoyJyKu9KRHuQyaZTgGFImXjdowkf
W2soqJT5VxUieT2H/EoJYl10/XTodMVwkLtDgbb3msRY/LiW35TrLcUU+1c0GqnZZJnMF74EX9Q4
fItaDp63DFfgb1YVDY++mw1/5Xf9Pg63Q7ysh2VDpQ7lyzLS7+jGbi1mTyzsugt/MrXncAa+DrjB
lR8UcaXfFGVuSqvoPPbjjE4BH3I04gUWj5dGKkrDdRsz49o7AhF9bbY2QkQB8zFtfi59c9tGcvaa
LGTiOjBa6K2DrJw0cDJ1qgdok+H3YQ0+lfZgW1aNTD0modcCLvkeYY8PxKnNu9dviJfE7susMLbQ
7UCwCQNCX2zLCTLxDfoyZNbxMdvE+8EDAz3Re4EEhvsOdVyD6kHMS2Qr2OOChzjIZuP5qrAIzWMI
7mzxMh0NLIdoMrbu6yyByFD3/mDUD8GjlmI4MoZ0kL5nGfyme5mj+cHpnxo2oLMFPAgwpQE8Gmt6
YKP73LXirYscSMlmuE4tU6ATgXKEDcaKxZn81A1UkFcMWZIRYcgaWWOITPfFL0Bd0c8Mm7hdKHH2
3FvCElt9IXTWaXgong+Yy+mAEFJ5XBWvMOJ5v5I69O6CiwUsmUerKlsYagoQNuwvIHIqQK7WoPVL
V419ABLsmlKb4BO9jikn/gk7qfDXOHiIvit6V1rCOThwyPL5VrcF0HKgqRP6Uie6r6/NdUEXe2hA
ihcCq0sK+gnVvkNrjngku9a9/DkjixwadXFcUzYrfZuhn+N4sEMBohNh2rYsRqlGmpzTGbSerK6M
E3C4KGBPiETRnD9urlwuXbUAxMTXzhsyl4r3ZyG93K3Hj5U5+bbG6sFVpAI92f1cXcgJbvuNYTxF
c26+DJhP01gBmRHw6QuG0Nh+hVaeJ3WfNXMNoghaOFB8DOXSt7DlyXbqFXPemd+Wka/QgzGnPtJw
fQ9WfUoiQLMO0JySt5CAR3++baQeSsebq6yhYOpnWLBnpV+xlld7JYFdIfMbzZ+zql9DE7Q3V2C+
qqr2bVTrurPkTSCo9uDye8JeT1gkFc5Jxw3HlGPqMgIFgiqxvPER4yvT2wPU7Hpn+bdggp66YGsF
pAwn7ECSvEVixEzE1jqHYYybjKjxjJ2xwFr1RayLsJ7XT7chmQ8JJO2qJMzFxJ8ZwYOjhkZjswkZ
gzntfqgYLAH2L/nSdOwUtkhSRusplkcCWRHgUnQ2pPliNh9y8PQ8d9hRhQBNkvXoPAa2lgCN0YYH
G7spsiAIIMVNEhgAiYoFWDbQ8MCiNt2vR27MLvDAQU7Kh0QAKLd0BuxtIeyKSbBFfhRMXT5S3Fh+
FGA/EsmBjSNh3HvrVUfuMVxeo/teDV5rKaJoYLzmKoGyEKNZ0nM+TwhComI15QhJJV5AXcAyzkeU
34AN3+4+Iwu++NWAZGNAWbpVqrSB8z4ifZy2pLu3iSQHt/MLMXC57zfnlYjo2i26OsF0B4orMCKI
zn+YnIu/LMdxcctKx+mIrVJyNUXFwOJS9EBI4fmlYYTRo4+qF2BiX7qI3ztm9quCLLMSrPN6XtPJ
QWWh6FRd7wkZgi8ysFiL2sBkCttqOAsd0AA06NQhnzFsZrJ5E0ibJyYTUjQeihAuLnKOEJ/Rx34N
I/T+OOIk00zgRNxk6wPopOxLoKBbhhevvkcbxhZamQ8Vy4p9PA5rvm4rhSSxliC231t3/t6N01sb
D8AJlNopSEegB4kC+zs8iq7JTT33ec0aTBYa3Qniyyetm5eQqRt60owZZ0YolbJyhl9X6qEQ9/nJ
b0NeEoJYAfXh9K0rKUQjBNqRGFvWTMAfiB/pnDQCnmewyEImCIXSGfsuVQNgIgQj14dqEFDHGovL
tUkYaNBkBIquQVrk7KvmKsVYZ+4WZSbCvjnGDGMOszdtIa2mzGDDAJkGK9Pg+XRXdu6Yb8k759FT
xBJvLyFJQJZYGgizEk1mE65psrLThAwfAAjs4+LAqQy66iXBMIakdghmYJuKBLtj5d7MSVbL5lB3
vk4rgDh4foHHukjG42N2uYsyf/Eg7DkcMm6roDSusTSPAwJelUFQJRpwksa+bIYWlAzk6gQ7r7w7
Za9AmkDz8xSPMowjN+VEHyGZf6E0ID6veJdpSFpp0ntfOujKGZ2B7DbNyYvgKyMH5NcEUpL7skXe
jgMMR2sWtGXcLV8BRWLjqpE9rFvaN1tyhhAqsFQh3SqxXCFPXzNmj/UnGTpvN1D5K9TYSmJxXFaM
pnpaUBIRG/bSJAIaD4AVg0OI0GWM7hWOaAqYLd6FLXB20h89x+47Wv+qfKzCLnjjlXlrtjaoTjVG
McPncI+cisHkiod/7HWX+XZYMHXAS2GPK2GfeoJfhkQJagY2KEVVs9uuUutH44piWeH2xXScj51t
T2rr+iLE7XA0iznK+y44TVBjyxPWIusV7qKoQpOCPSUsJ98WZ8GD5nZvLGQeIs2wWmQeanUYBY5k
m7+DgEMUP0qQj3KXV44ng3ro8iICDJz43ZnnsqUfHZzpN96Pj6PqsSuN5wa7BsJlMTYmyRdfg15x
w11raliEEQpNG5FrJb17b/yV+o44aOz40ja7DRpXaubpBR1/gIU61LgagFDDADzVEEQ+DCaDbyac
a+UmDy0ybzvfniPMkkXVJ0CukBqGs6QIti6pfGQ9pzl4FsF4ipCd/f27sSO6GMUBOk/vzthhEguG
OZ1hHzm6n490Q8QxEd0ztjF6wjYeEVomuKNwWYo1HrzCS2antCcLST7uY5hi2Awq2xpY6QuwnClp
FeYgJNpnVrdH1b+jgxKnZdXHPnBNjowYRpa4Ke3qHORov1GpsQUMQOHWpjBx0qoP+i+tgg/ckism
+lEnlw7DIxLg3zm2iNq4A9Q5BH5QY93Ll8mrS7jYLE14DBJqCHBH9mhUgp8YuXPlQcGHFCKdpzH8
0lReCG4QlMe8WIo92rpdGOCkuzUrk4lCNAufsc0PycJokMWd40tmAYJ7wUq+AQdRsfOC4FT3v5g6
r+W4lSXKflFFwBaA1/ae3fTSC0KUgTcFD3z9rOKJmTsvHdQJ3SuS3ajK3Ln3yq0fVMN29sd4TYda
buq8+VvnCilN9SvCENE6QJHmr3+anV+RZBTLvvcHsa0rTBBpMm585r3H5rXO4vpq1cExy5tmk/eY
j/k0cZj8Iux09yeYc+Uw0mw19PKZ5GlDwiQbwZOStYR0+3IiTBCrK74wcRl9AAYqulhYkvHIR/k6
U/1TPuLjCOSfoi29k9e0v6LgJa5amE9co6ccIsnVNYr3peFzmbj+iD8jHm5OED3iBoUDXJnxmVrF
u3CtQ17X1T7omPjWd4e6az1W40LOoPqTlZtYyY9WYEnpqDwc3z1Z9XI2Mje99PTpcf8VuRGFXIgB
Lon5qg2TP7A70gCjfiQl1KJyOHP/XPJSdhsj46xOWpByM9ma2I+PMZy1LVMPjNb1WgAiupWue5hU
lW+jfrw3RogbWxI29DQnKmjCc92PzZE4JaNMHAC2+1R2s/g1Z0hkPhSndVa40WMK9onPcc+A2Dhl
TTKcYiBlW3uatqRpz0TsT0VvrsBbYYxw2g9Zoh0vVbcWS3fDBLeri8relX1iE+VRcNPiUq6HEkXY
9Gl6DWeIUbSM8mFi0VmZkjSDTdoVxYlMMJiDXZbb8daJg2uHl3xli2ghuVms2tZTJDdFciz9H4oR
47mbvaNNgmhdW/EEg63aykX8y9Pkbs7xfuSDvTNUe0hhbqyIYvJsLPkW+QyKnI6zLJarjszr18u4
TPwSfRxxVbTrmnOdTT85rvz1kFuPMlDcA1mW7fLKtWHa+da1bbNblnd8q90Ott1hdKECNJIyAP6j
WslQJwapadsuJ3g2ZZe0sKYdSkK4ad/mVL7OQf41m1G7kr17tVHyNticcEuhEa8HrcqKDJARv9jJ
87tj7M5vRrWbG0ZzWZSgi/vBKvS3bYnlME/FV2mmRJhjySSWli5WAVXB7LfoUacpS3BEaP6BG06P
WHR35sbW3lLpr2TxnwJkJyQaYoqGxey5r54J213bPks2tqEwn+Qop9L4mqb0PlfC2Ix0fBiLaQcN
sA5xOpMdNfrr4lCHRkFzM4RxNtL+5MXkbERgFRfhhjecUs92HO2rTFJ2yeWz542u4Gmsgk9CjFPY
bHsl+pUjbO9ayoFwSGE1G1O3qoSX37tuIaWoNlWFJmWNzZtYTm0fv3NMtCu/sbYdI8RT2cIzdHUq
dwL4yIGowYRXxwlO+cTYtk0brrH52pn1j0TYl4QIxZaB3+sypOXJUc25n9PgKDPvj3JS/HAmhW6B
Vg65yTPWGERanGH9h7RmOlXF/UvONl5XzYQlL8RfE9nwmgxk8YS0IPnBYI+1EnuxcJ5d95J7Ifgb
SFQ4UvpD1RYHI6s5k7BtHeh/1yFes1U82e12lFh7jBkwEVMSos4JkCYjP/hN8IviDASdrAOmJAVm
I4quVaS4B8zFqHeFQ1AxFjsBi5bA0Lysesf6m8tEHBKIZasm+DEq7T3TyinO73Lr0D2BFeJKaJlS
UiTg2uu5pzxxb6S5lxM2yHgJqBu5x7AQnGxkJORGcW6d5iOKAj60pCtW0M6O8yKRT/DBJO6cYwUK
j0k0boCWJvQX1GdF0MV4Ld2DHR/8HKtiocTvKvaI8VlwGVL3jLgT0glwoylc9atxrJ5MZM8wKYN1
X7n1LkUcOCd+8s6bD6wiMsh3D87z6MqVWU4QCwvTWbtYH2g/NiFcAkyFeQq0LI/3DEfDDcNw8Igq
YHye8JA6xbkY4chgB5DL3yIxr5zHM0EUi14u+5m13kfnLhCwIhtMCL1lZ6bwAEkmxmNBBRi/+E5U
b/y6/O0X7j2pHWcztAyd1IwRCRyiEulj6JZ6F4wJY0cHFTIXS7ZH4gGW8i+EynJHkTWVty8Yl+aC
QrpDETaHiukUKIDQvflG4a6KjFlzwc3RxSC+RBo2+7lsKRDxQ1kgLWm2rUvqjummA2FBB/dqFv6v
pc//MoJJV50oexwkxKdy80Qf5cBRsT34DeUf1chXbyLASqAvXjH03MfxrwD8KQ+QwSQ/9zuOIeJ4
qYRfYCLLkft6QgYfZlftG4K+OnCK0TWbuu3fHkKUBzZ130mTaYXfO+veByJooSIy+9G5eqPhqgnK
baofV0cp3jYkNRnWW+zn3KFDCPOH79lJ2jcZERDzYk5vYlRMS8JHCuAdrhfFqeN/NfZ0iXW7GuCg
3nr9cqiM5pwt+b9E2d6uHbvd0p3bOLzFNZZpLC5/yr7aM8/8QWGGRWkcNwPZairIFjVNPaY0/Yq0
VsB1lENLMlzCr4rJS3CzEvpWbD/MfbKl2AYTQfpmqT8yZEYjdMqd2yCPR1G/7W2IsmXn4FGwquLg
DB9hQ/ARv3YFmGfkDgrKQ25X5wmgFy09wWLPGDZhpLpV0VuXTI7PlUEmr+6aeVX16sccMI6qZ0Gq
P+guguxEK9A9hU3hM8h3xZCcEdlnFv+zuik6jCNX+hB/zYSLgYERrrC98DcPorsPkwCBMG/Eqsbp
shJz9k/VntjEldwXzvBU+WKD7fYscqPYTW7/zJXBQZfpt8sxN7K2f88enAUaGw1jkFSWE26Poxj0
7Llf3oj296tYjSQp4/hzdsAe1E1HVWZumdI/Oiv+24OZXciw4ETx/pXeym34IPSaSJtrNm1s0c5P
XA4bxr5E1bWIbICyLR/Ne+H8xcz01ozGRY5oHNAbMBqDwWWkN2oqrkz7n3MXUKpOEHMdzc6VmqI7
gNPtNFc31oRd2CR4arMzEtQ2Cn0emsb9FcSUmsSRDuks47UPsLfQgnhXpuZu7KD5dmB9M833dQD9
+pr4u/M0/dfVHOAx8ldVoL58x/jRNpHYl/ZEeVHDDp6wrJHu/soYHu0GAMOLwicwoXKJAgdsoxNp
A9G0nohaiBXR1Jk1t8Z1hQwEBMCM34mu7kycTxvB89mGjF96wm/9wBiNaEm7fcbi/FmaYbDKXS/b
KZ2b83SCDpDqCS0+uSWpeLamZOPqtN2ic3ff8/CWKJ5JJC/X2TzS2PnW6Ju/TP/f+a2R38N/s5Y6
02emKRFqowqJNRTmej2913bwFBAEjHUisAyQ78raPVY2cJKKodrKrox8v0gaWka89YZj9yQihlzU
rRbFTMU4gAxiodOIFrHEUucT46AeNonv9CtDpxcJ3eJN7OJ1TrAx0AnHidMPKOBr2VR/Bp2BjCL/
QbIWpKyOR3LUruarb5OabIlPEjSv+ex3H5ZTx1uTiKWRrloCl1aHvtYTwRRVj2V46P8sDU3XonOa
Sic2K6Kbi85wjsKZAM/2XKzkO0Od9BzgFBD8lFHzhVr4POpEaKS9xaThSYl+50Wvhk6PKp0jnXWi
NCRa6umMadYByAWC8eWar6NOoZpe+2Ci1a9BoTwn/t51ZHTxfbkL6cmxYtPe6UxrSLjV86a71ZJ2
hVexbgAMfOd4QUTyqBCNzYnIZuKjKMsXH9osqvNC3zPz9IfqnOp07WRvHY+fQOncLXiMUudwTZ3I
zdru0ETZOWgoimvbOli1GrGV0VO2AUxXSMprrAR3Q2d9GT+fDH73CyFgQ6eBA50LnnRC2CYq3BIZ
xgXG0QpDEhBCyfyVXHEqmUWE31njtNgwCkI61Tneqa3EukjUZcAt1w1JfxQ6tZybjGAa8zHpPHNQ
xOneoA8x0wQ8OOX/uif+HOsc9KIT0ZX07iXee0dnpR2Q7pyU6g0BHs104bEmWK06qKP2RNbaVeYr
SQGqjJT8bZY+E8l6TnQ+2zYaVMTlNYTVM9QkuK0J9YSU0nVkhrwaQuqLpUJqAPPzqXQGfCQMnhAK
r7It89H8SJ5nv+jUeEN83NA5cqkT5X3E5Sp9dQYrt5nFAh9tMkGR5laybvul3likgs9w4kHtiuGp
xta/wzTO8SdOraJ6co351eJ9MbwJM+9E6LaKyuim/dCVh/MVQNvT4guKGO5BYsQO4Xn6uf7QOuTp
zYxxkEVDGZT9l2kvcj/6WbmeZmzxA1UoV3tu4LueI2NNLvKnigAmp6JE9s4qOIMedoDU7I8+OtOJ
9WhXJ9ogWDO7V0GxGdP4S9rYW2rdWDVWd+9Mmi647uUqXKxyU7RMrbr64tnTDwtu1aEn5zZE3Xws
XfWpwuImc3g7i6YUxDuKPc0tqB0IBr5ICRKm5jbVdAOsIpqa2vystbMfj++61ywEqakIFXiE2O83
eQB0SXMTlvLdsctxN6T8ooka3GUjh33mDTDVyz8t6R7iS8Wb6y8v7agwAPr8w4vRrGuaOAyN3nHQ
EIdiee0c62XRdIdFcx4qgA8d4IcJAESiyHNwJWzD0XwHe/wxKMXYDgLfFAn4a5ojMQwRSW3v3QMw
EQOaQCOP10nW3fJqfPLDdM1JUeyIEIVrnw/kSky8CQrnuyZYhBRta2OkkFXNKWz6D9dzhyuuiGAN
6nJa+aAwTJAYVQEbA+T9iDMKXkYMOGPQBA0flIafG9Spmq1BCbGawW1Izd34Ro8AUf2gkiIwxkVW
a0rHoHkdMNXjPRgfbJLmPwZvHFOa7tE6HxMYZSHtFJPU+GxqDghyUXkp7OAwBrBcmHHJnvSd8RXn
5UNmToTOjMo4qGzVzM28FowMt6EmjzS5+JCkm3aOV30FMeW17afX2FdgY224JYgpB3di9L848Wri
MkZCgnPiaeKJ61xHTUDpQKE4monCKgcqDc1JqaliNTdlaGlVe5cHbKjguZSaryI1aeUbPWJnS32A
3gL6EB5Lqsks2GB+26BaUpAto3S0ynhGWoxXWCwxomm+i6dJL5VmvuT61iZVCFSm99Ag/JHqHUYM
dw+au+bGJABkmN4kEC1hyvjfcBnLWg3gZlKwMxMZ1l0JiMYuCKvn/yTQVqDwJuH9MHYIzyZim3px
j65P6aTL50JDbsTEJKNPk5NfB8zB8hnd1/lNjEVci3a6zhqWg1//jcENgyVv20HTIXN5j8f2FkPZ
iVpjXUPdIZySP7Ilecxl6pzsOn0ZxG0KpmdPA3uUSM5xNoPwKcM9PYN3rKH7QMz1jxO8nwLuzwwJ
Zq2a2Njht/DORpWG+9lpxarSlh5hf2QaIUS5ua9hChEwvMzMlDVqKKvdW46xcetCIRo0jmgI0WTc
d1djinINLAogF/kaYRSm01OioUYpv6kBhyaso86Ry6YJMVbCgjokkTlsIG7j5SyAQflJ8VxobJIH
Pwm6888UgLSjwUrpgt1r9pfrpKFLPfQlwPWhhjFFeXQaNZ6Jz/6zo4FNKEE8f/6xnC6J7Pe5lzY7
IKotv/n3SSOffEiWFgioqPcv9oS5KvdhXAzYbBhabuN46C9+0e5FCvvP01ApBy6J3yZ8YebRS4Sf
fJbzxoBE5X8jqTScaq7eEg2rYtPYxi9jdZkxAZp9bG9E8x3Yfqo16spx+Vk744y/p9xKjcPy4GIl
bUgFuiDHTnVxjJ3ywN+hiUw1TkuDtULtLlYatsUSh0Oj8VtKg7iwxYDk0mOBeugfWYxjlmGqnpbC
UdUor0EQlLDbdaIhX5grLGpXwF89BLAS/8/aEfIHoZcA0zicME9zpjrGazYEMaVRYnmPfQC6x1X0
yb3QuLG6SQwIGOPT1EOhsIt0PfidsQu86KXQuDK7pr6p7F8wv5EbNNLMdICbAW87FmRFt6naWhp/
tm80Cm0sVcBzBx5N0GMASyugpglNT9MYtUoD1UqNVvMljhziYOatqn8Zo/sn1xg2VnvsRAjHlu8J
b6VrlQeJgk+TTyDFRwiYjAM08eGM82RfBuVvRVr9ODX2NgL9rxXM3yQnnjsqvF3L1brWJFJX9L/A
oS+Dnq03HpgxEDrgNwXe4YkC2UQjWc3FK3M0cvp6lqnm5qspKsygAd4SW1Gd2EW+7ZK0Xpvzl2/R
dCUac6c08K6DfOdqBF6pYXglGY1Q4/G4mQ8ulza4OyRaRPBtC+hxnS7MGdOK8szVqL1CQ/dA/e1L
KHyV2dGBBSiwmAntfQmrD+AAOxw0vi/WID8B0W/RaL9aQ/4WjfuTGvxXaQKgTUll4Te1YAPyr2lQ
YKWRgWE0HYygJaGjcYKxBguadnIl25LXeBqtzPojIjBybXgqOXT4rC17w75XGlVIAAX0uMYX1nAM
e3iGseYaRnCNwRwmYgB4GEMP4FQQIwZTwImsjcEvCcnbcbZxy1hDxsATPSiKBjTFeuDDY/DXFjiL
ZthfZmE1T7kwHN4+SrGsaz7NyocCDacRSdnDNwW6MUTJg+RoaqQjdn64MlAeLcYN+1CDHwlmvpLO
+5tqJKRDbope2NqDehl2iKmkD0cQkiksyQD5/0Di4YfAOoadyLfSW4YMsvZnU0Fgi7NbZDKynbL4
borIdQ6iJNrS6NTo4vhyFUhUlUyvtSglV00WBXt3qHhfod08xoGsSDcYXwONJuJRfMJtUq+dnhU6
maMeY6jx3XMGfq+7htOszqxFALYZ1DPIaSWY7qOPMKo9ccWqgwgFmRJ8QrPZnfM8ZqFQKZggRdZS
ktDrAjYmTIULhiT9W2Qe6zyCZdIdZXawXewFZTc80/U02AIAhZOaT36qbOzgbTvTkyScfss6+6fD
WLzML3yW86OfNb/xBUbH2Z0ubhiIOzOMr1pORGr0nwao77NrBecqq41rm2hWOMp2yGDl0BFoV9OI
adKtsWY1yDgxhtstCggOxSydt8MiylNXVa2FkzPKD1jigx1TDHb+ZIqtNfrl+6vBNKJTM4TX//33
RjjFniB+fkivdFnti5JEfBYc/Ose44uJCefZmXASZbCw28HBy99Z0R49uQUFEITHvGvivQqoHnCh
E1EFCbEpTKu/YygEG57w90geMXHJ0l9t4FpbSn5zKxBJ4VMKn5RiEh6Mjpp78qcjhIQNz3Pxheuf
sw4DXMYqide5WPDL27r/bj331SqDn02S6PrHWt5tlp6hc2XJzQEN/l5yuo1J0T0noyffLH//beVj
vJk8bLAc3/+Tyjf9yzgHQJmtZn6GabC3arc8ea5eD9GU9tv/90euvZtQ3nvTW8OjaEC8m+Wzq18w
dFRHzD5fBkYJe+6dW2j41dmex/0QTdjUTPisQka3vui828Au31szhbsSF+Y5LAPnmFnGa5EttlzF
hX8aYwDN4eLl16BjNYIy3bMJRP/ME88vduLcTXJ4+v97mYbMPw8p5E7TS5YtmQk0Sp8dIYTynGc2
rsib6clDoAprXRbNeEhkmb/VpNuzcLKfp9HI3wCq3JxstJ8CP49v0hre1cwbL43ePDSdmJ7h29aP
MvzI5mV6bmfW2MAlA9kOPfMqrIpIL2GOdvCfa7cIofel4R+Tp9d38uLkgJcBvwQt3FN+vluk121Z
oxAeXG1l8vCNbDuqk0OaZ+pHnXIR+k3xQcAMjnfAPgyCHpsiTswfCWHxVVUWnFLETFdzYAb461pm
V0n7yG3/9zdDA4Oejvm+JRn8+ROQAo8gMdL/HGC5zCy3PKjYTA995xiX75eOD9F/X33/0WQEAMG8
PpiIYQcxBgFWKJzIQTG8BXMcXf2AaZeL9WHTO62Lfc/IdkQjDMw0cny3VJPgie7VUTogJvu6Pxe2
q67/e/FCPtSl0j9veTR928Qj8n9fIm1PHQPj2uAbPpbfEXmcsS2tETQDyXqhNUGqmVaAiGU+dt0F
z9KWPRfxLUt6/ePWZxkxclwZFUEiN8AxjjUqjy+yaA9E0qODYyv3JNrY9LffXw4JS6bI067bAGCE
OVbZzCHIBeGCY2nr9jHn2O/Kei5O7IRoHkKGX1CE6j0bSs2zPy7mORWfVg05YRsMY/jGxS5WPMvd
g4YNH0uqYUFYquqLO5/BupUbQyDOGpNlrCu3zJ48G+1sYeZgctt8TxJU0oG/jeqdkdcXjPX9X8t2
r17hyEdlLJ+VNddrJB3j2ed8w57ub4tpEXvLvXnkh9754Vh/4U7jxUXLLVLnw8x6g8wq3PdZ9PiO
FcqpXwa/pjFOzi6xcYYLM6PC0NoNZTIfByIElA0xbUxRVzrFcgT1g91uMp2nui79g1VQiRfE+iCI
Ffjv9O/h+yUysOD0atq1jkH5ocPCgyWvOOqto6Mz4Ox1yjDIE88zzaVd5+RVdln347/DIic9sExQ
Np00f2cCg06gKTAKR8HGWOph/f3OG0vbr4Y0kbyFNgZ/okTqzOyqaQ9WY75nJJMYftnFnUGjsy15
JKmIpNpkk01GPCuvrLOLt/4UT2eD3M161Ipry3gWq0lwxusbnk14ZxBiy2mTWgYR4ax/xkAO0k65
0TOOueM0RVzgwVJcq1iYLH7zkrPAVTH2XsKqnn0tb7Ixm8d/L2NVPwEFxD5cAssL1X1EA7mnzWKg
ZyfBvl2WH7KW9qFzw3JvUfqhlHn3ovWw9Br9iGN4qS/LmFacZNMxre38nTcqPkWWiHdkAooDK3lO
ow1NEmZi556jRLELpArTC1ufFHZF50dWjwiE0h6ZO8nXRkbDW+016UYu1JXwGD/MpCEryJXqlO6w
BylQvZguYyMmC0kn+nePRSP2OIBSJA7yaU+23LRtnbOcQ++QW0BAzNZLY47JLedDFMF7+Vpy554i
1x4heZOXysbsw6HG2oq5LXfY5NbRsuRne/FzGlGfWC+EHZzm/NFXvjosY3dwJhZEAFs5jhB7Cevr
U7siI9OX4EHD2dpknufeK+WgCY+t3qWkmn2PE/yWY/K8ESLhe+mNPyCsIGymTAslLcKGkXlxaeIa
X5LXsl9Ow6Wy3I/uyHokShG69os7u69NMsm17xPbKuYiuyhRBPsm8SiViunsAOCCPV0z1Eq7+Zb5
74QXx2tpuGKdj9hEi0yY7A5DXY3fO6MSVwrR4dUWPU11/Rhm39oiGFGbyNgl1DOP2WHqW1bCfMOP
8gVetd/9ckXnvjjpn5F1WysXYbrGdAHdh6ychRGScyImJlekNLpVelUa8EAO1Tr/d/hk4Bd6jStC
OHxFdEVKBE6LGyeunhwT13llGyscYPNPieXDsoN82+hWYurhRC2Udic+mnnIX+lN5jHjMS4y416K
7o+ZY8uqI9u8NMCCqRgb98VS2TUmeY0xC2yDQ3TVUy5pj2DKTmADyvuSxvlW4LDB6U/QwDW7f15t
48Xip7zORllce4gRh6awnweL2FHblOSFqiE8x6N9TGT+HUNGyBuAmUg25NJDsi6AYoIQrUy2Y0L0
v9KrNIiQWZvvNzb0h2fbGMnBq2I5h5LtAYQnC6o0z95yYIcEiNjcMMS9gAQ9l/pwQAY12vkyOVRg
qQyxTLT179biko9oAr5PqJ6zcEcF/M8yE5bcpD64ksUja9D54dGMS7EmccQCxHEkADG3BLHj5EcE
4eKlihCwKf68o0d/wg4+m1Uq+kUUqR4Jc0KnzwOmpCef1Retw9EnAjsnKc6yRDPPjdOUo5DXUNWm
GHCFiST4ffjPMdh8t+U5ABXZY9bozfP3y2TN9N9BUSLCBJTJmZkwp2+Eu4+d8RMPB+GwJuYMCVzo
SHGHl5k10KeYUeJ2ltNyGfXL1Pntie1j+EygM9BHe/Mp1ZJeZqc3iXYnBTVRxGToiYseVrYhm1Od
Fp85jDKW9FBglnh92N8kDR5SVhRITw1csjgoXNJ++7xtl9tc6TJ6jO7AfoJ9FZnOf71Py0P6VgK/
0KHGd+AG7nUwZfsol0Mjqf6+j5wpZllh36ltaeZP4Rx2R9ceEQbjZroZY4qfmKNo33W+vxf4Xg2I
4GzD62dGMWGRbfrMnA99VF8UfoBnLOBizUJE+Ew2PvSmLOW+VBJkN8VHO6TdJZjkSC+WvxQcPBsC
TeM7BY3a5c0So05JWDrDfCHsIvZ12Lo7AiDe8+BzQCyZ7undhGZTxhsprWRv5XLDApOD0wzxcxlS
P7Ski6vUWy8qaS5t48Q7W9Mv/vvOp2T8OekTEPvufXEtasyZBgd0RAxoR5d4AnuwSgm5sZZq2hj6
kTEJchxy/Uc7H+L9LBK1xmoSnvlC4VlnEYAqU7AXuJpNt+2p+CrYZW2Id7NDFExYEIrpcdnLGtM3
yefswtgzPUaq/KgchMop9u1TWkiWcyWM47FcOzfDy8ONl3cTYaDi3ScpdyAtmNP6g8HxZ5zzdchW
pRSCVyDzyzD+GJfee3Ir9AsDpTIiqPf0/cyBazY3qdd5V71f6hQb1luTWqdRTMbHiKFq1/XOCyHa
5slBqbakBPNFVQopGbyNzAHhKlVpFy9ZkQIHsllEP4tlhuEU5MvBNxRPKg8sgmA6Xb6/auPLJL90
FmiRUfJE6kveTcrSuwRDDEPoPOUhMPf/95+xxwFmAruWTwVt/ORu06wpTn0+ZABw3WozG2JvJNK+
yY7BGJ2CfUgHNsOYrdrNNGdXVLR9q9L6kmpmHhGE8Ow1/cHxGkoe2Babcmgy8HpRdhV4BDnOwNjO
8tWoBv9M6EeyGCGntx+8DXfdtmAfzEOzz/d9R1igkTUo5DkJL7PbqzME8uHup2zi86nl2UwTDffv
F2Xa7Ioo/hr58nAKj5k3xWVgTvc8XMLzMLdwqFycNsFcnxPZnavULc8NGygfrmQnhb4MxkWpzX+f
1b5yPmGbPVmCj4PZZdmrcj3ejMjyN3iBnX1b9dnRDlx3MwGAwtc8Qydqerbhje7Z6vXWyImneiH7
dK5qk5F50FL8Qc/DLmmVz2m1iB+on8wsXBntZQmzHKpvsVdNqpNUTXT7fpG2Gd26yJlPTdYcGboC
Gq5Zu4mACPczsSfMGlYqHjx51BJZ+My6e6LnPV7fylsUA0My06mCyC+iQGwFG4Oebec1BxiHw1ty
H0IL6piS7q3KR0ypVUYJnTnmuQeQz3yNu7pBdGLXaBXugN3LncehvYr1Z5oMLOAGEBhbSdnRRCxe
XZIpv0z6Rfb5Dw6FiSsnyc61V6ldUC+Eu/FhvM5UDb0LEZzlBu2uHvvgQOzmIVszPPcWHaCD9frU
kj1dJfpfsrUJT3nqZwlo7uzaffySkDZfK6uID8MwALLBPMUiHaYaieGRY0dq2nkggLC+2vl9lM5t
iHJ368bBvGvCNr8Hprx9g6CyYep3yWDM56THtFUljse+LGYCMm9hrDXlu+rVGB1dt/bxVQzVuujy
6oxJLNoMwTKuBb3Tqu67YVejnJaVVdyKwh0exJ7qvUbDYB2yrmHiPpB42hcbkvclSfO/lL7jj4xs
0ijyHCBewM0KTUmYM72XlauTOQb/0tluLl2sPBIXzK2Y7y7HMsRpVjTgic3ZV3enNby9QT7z1MgY
2MUcAa5uxVqkZfFUhq6/EakFsKvx/dX3t94jaCNTQo7+/iMBG040cPt6KQDR71GveS5pDHtJrInv
6UrmGLndCjbV6DrnzPQq8tM2Vlgp8E6HNtxUL7RZ+R2CflDAFoeCmG06ifY+dBDF7IikR90F77ZD
WdHR7W3MxcedoB31a9tq5IVyTV5cdmwfp7h4kexcysIguS+lGb3aY8wF1KZib+oFSZW5NGcWBapd
HLvM43256Q0r+cRFCpgCg+ZtnsSvVLZiW7hueR+9eP99oAqwk5kpRwSIRx1Fxll6S3YRsWQDktB6
qv4pE0InLnfKRpgYQ5bebl+/6UoqP47B5NwgJTkXvGBwJjwnujpWwmw/YFqMK7VT892Rmf3ExuLQ
FVQvzbj2LCEPedLfTLNAser4NwgQMnShe0FSsW3o5ue6SCXoSKMnZPEwetDwlla16FpWKCbiZvbd
S1CHGQem+9nKeTm67Aqs+H9kV4d9pK8NN/81WlbZrBeEAtIvQbRv/Fx7NoNiPJjMLc+T5XOpcU4j
JoNrtJef7DIgUa81it4K7rVtROcidOOTzCnVo1YerSj/q/phE7ksEic3yjZDN88GBrZV8GSFSXoN
EvZ46x6gsQbADM5yaNkpF2KMrzYjrcvpm9smbe+HWhomhaSxt63yuwvE0feYAOQt1S+ylU+T05Qn
BU/Ejsa97eXuEw/ACGJIC5nk+IqTaiWSo5J/WqsCt5CN8cv81RPn2OUlf1MY/XI2Zb/1Bu6YGg7n
3JniXbGQBOmZxYnTYr6HXRHdgSQlH2sbvfmsGivfWZgOdkUKOus7ilzOZXztOdfy8pcH3YMVZPz4
rZn4T//7Y6Gc4eSAZvqPfJYZQ7CvGeOS5MlZYinXZd/Vb6aF99YVYtYE/ow3lGV/jtH5eyvg8m0z
bMmVLiiGTEWgCFJSr0n9ZkTLif1/uMLyF+1YvRHwT+7fL9lMQSCz2j6TSRZvmIPA+t9F58VfAFsZ
wUbtXysjmziIzD2Y1YTM5uzjMUI/gnEFRYDY3yYsyWZKEahtJQa2EfY1gvsy98Mp/KvGajg1qus+
mVDzrPqfXkvwFAh98RL49UUaMX14Uy67kH2POL9Vc3CNoXnk5Wby2A0VdLPxozJs3q8gefYLhvxe
O7xm2XBgEzcwO4UlwI/d9tT7KuLececrbVe0ixzwcKHswxOmcMI4HlRDWzSfzf+h7kyW40a2Lfsr
ZW9cuAW4O7rBnUTfkcFGFEVNYGpI9ICjb76+Fphm70rKLMmqZmVpFil2UhCBcD9+zt5rh11PyhV0
nZjDMRFCPvS0Uc2k4wVvdKrQjPs+pDUWTRZj9Gek1nloh7ri1hhP9mBWYFkALUPMZzZENWysDCUu
yoDpkVvOl8Kt5gc7lrdgVtXVQtlvQcX966MMg6y0snJnQif4NBcPtFDdl8I2aaYS5riTY0N2L70h
2JP2E/00bKrqGQxevy0nVz6Sk4sIi/H5GYoBGFhmnl2cvUhjqo41Jp5NwfpeQPl5NPBBbd7/FCcM
Ct//RBwsE3dz2KoWmXJix+L+/UHFNYpBFxXT8qlu9LLbZS5bE/ucxlV7pljMH9p8Nu9iduwuaQCa
soNTLdcTwIHeRCe2PMw+gAF60e2amuJ+cHJzp1Lm/3DsSiQ6WPI9NAMXJEbuKlEgGpwh8o95NJMQ
EXIiaAfJ/NcYbkpvvFgzgk4lKIfG7sjhNDkTc28xDOPY49fpBwfi0QsMkmd8xgbFAIiK2Mram3Si
+h6Yzx8ysNM7u0LBLqGkYIVwXyssNnc9pbQOv9N6jO/fHxjbqkO0PCG3kP6d+Ta6WD5jI+zvbYkn
MaJjf49qmdPlUpWlI3yV0iIVIUzybylaWHrsTXqtMBNsONd+G0pHf+iNbotaDvh0FvjQwxxnh7fx
zkZ55mZ9h6i53Mym/zo2eXGRbqifN6qjmEKw6j04LRdRjyAdyuVNUqbVPcer8GvfU4/VcKDQJzR7
19b5U5UwuUdxQBQdgTTNgqsw53Y7jgamhcb1LPqMCgLMTCALyK0YzzXyj6wHN9ijHNxCXrUvo0Z/
nrrVpxR321pGrzVq5nNNhWA39X1h4v99r4NJcrqFhswBwOh8hXhLO2yUHLhM7wu2ZWS7LqpTem8E
N45mcq5GP0FNT2owXI6L7nV+puY4MxLawYj1j9HSLbPmqDy8bxxNjMQloPLeZkZ56rNh+qTMol03
uc+4g+IiNSA1N7M5sfcv4RzKR3iOsfyEBUvw77+aFaCQYfTrDzZqScgm+VlYuQGLe+tU4bDKSPA8
TVNpfXAxJ22TtrF27x/2grREs7YewXDBQ/QWvkU0el8rTVCo7MuPQ6PrfUMe+qGs2+RD5E1fZGPZ
t01qE3dpNeo2n3A3FWhqDuWMZG/TlSO5EJN5wywYZ8jSF61IwrpfQDKcG/mcYYfN/Sic7ASbCDBZ
7PItYWsc+pyXMze6i/DHCbAgvdA8a+0vZjJ9pT6tHlpUzf7cXFnu9AGAZ46UWDfXxmWBMeZY73NB
b5xGFI7lBTKuGg5kwJBxIU50nofZ+5gY8qabnfxbAzUrVGIHEsh8oG63HhBTIPM3UV4rn4mCC2Pg
vi4XGWTlp1+sstv3FUWjKZk+eCS0XnpFPOC8XNbcHc+9B2RIIqFDDtuRES+rr9hCcAaW4ZGlxztF
jHk34ez2j0QwrmtMvM8McRGwWFjkwyYRZ1os+ZZowPBu1K8eI7A1nJDhmSIANrXrVmrvjbzAcVl2
u06U8Q2Ao/jGC0ompf/5WHbJY03T4vD+qf98/v1PZdQyUzHAKvl5MOyA2di4m8z59j8PbgNo23WC
74kRtof3z0dOTzp2ZL2aok2Nw0QT+jyiXj5PTiOOQaesBxik/VP3pRYoBHEQ4NSs2+mOK820ziOc
nFWtvgYFyCS/9eNPPXikTRip9GgtvPy6bQ6Yvg7mSGkBEcV+CILghs1h+tQzCKXOsICPlf5jmSDl
EfJ7KfFVhGannkTCBk844MGxQH+9n1eR5BP/Prq7krktbzdUc41Py/C9KVGZcD8mPDEPlTTa+zTY
Wx/hU3ff9GT1a5HQTbCcMjsjpeB2cOBC9vTq3h8Gc4SzgcCWC/5EW+BITIx/4y4PRm9qczM24o37
UoHdF6W5+esrOKT3zWBiBP/v7wb3NYMLmClD+kbfje78nYaHOL5/9P5QgYw+sB1qdprS0tih0HLV
znh2rLrcKInrkjgwhXyglifa5vdNGqjr+6feH7IyIvqwArfzyxfcoH2ynOpaa9DbHjm4N8YsQ4gr
2bM3V92pN3u15erOFFribUim6gX3Et3/OXSOlZ3nL9OGAMLqpVSOdXRrfUexSmfYFeqhkT2n79lS
H1HMcIcZpn6K3eJhrr1d2enp8+AQAo1Vm8E2vL4jbLrdhKP3cR5K9uhgkrv36jopzqik12UcylOb
Vegd28xYZVMdWDhFWdLpVX1XXsQJTBTtIZyQScCRe4NjtRjv6hK6jayfTbKwjBB4VmOVjxBZmrXU
fARylKE3oCZG6DOWsVVSq7s0CdeVKd9G55nWP0dT4Sb7rMUFSH2JNFklEsF8n5wkSan8YvXJXdzH
jLTIRsqyZU1Fo+rSRqijF44VJpZ8m3aw6lxUARIlSEB8EgmuoTPXOyP5KpkEH2TsAbpjMo5oZRO5
kFSdBPe5T7npoZljuI2hQwNTBM1Snk3Z3AVDi6SpiYjxntBWt7xByiFYiIFIgm1DrqaKWHeGyHKJ
TU7hLCz2NLp0yN5bMsArhuHLDxYgP2lRpFvf8L4VS/dTkTuVMeJfd1YNt4OD4bZqqNmiiDPyEH4f
6X/b1Jlr/MFMaYAU131R3eK4gmlMey/wr5MkSc/OPe9oOukxViBLGIDqU2bLvQdTZe3VxK4544Ue
Zn/NMa+ViSKPTM8txlRXoCPMiUuyOVp3yNF8qwGIieHFSSig2Mm+hAFtG7J8CGZvFuunml4C5G+r
wrT0zaSRKoeq7Q8tduRswBZKA/I0Niq/n1uWi5h5rla0whYLvK+SYx/kl6YrLlXYDOuWOn01SwkF
I2aPpP+2mbrXOiBxhJoawG4Z3nWG9C8mASPa6wCq9JzyY41Tm2qGjqVJYluHjTcin45N4phY5r4k
UB2sWGPsStsE60MkEws+pi4bGv26zavPJulpq6yvAL0IHWwDpfkOWpuGdRu7qV5HIRpWB5X06Ej1
2TD7deA3hGHOCfBgqznmKDkOZYxDsyevi9ntkxc5+C6mjl4b0nXpIlq02+AOrTDN74UoOgfGIr1i
R+MQtDPTwT9WvbjSg8n2DCNXBkj+Y1DG8bGvjE3NmWbjkTOA0Qv82pwBAZkC7yWq83WrZLsdZuUe
Yr2JotcA3/gDCdirodPxce5gBSiPX7nFHngqWjwKYWKtskX2jVfGJloRj0i+6Qs3vQwQGeuwpV2K
6aiaOnAvoTsCbmX8TPpoOdaoJ9IH6AZMrvL+Oxi7z0A4JhCKst3paryOGpMcBtFs4ViScGxuJnd8
8VQEGTF1vUXlfPLs9AnBntpCPGMt6ilcB/uVQ9RWCPu7gyZi4zukdxXjTs2ptZN90y5D0nTjcAhe
iU4rrGQkDso+OAUVoskMYByTPnCLIAgZ9c0UcTJ/Sg1Gx4UMX3Co0mosX8ljUTt3EN1VoiN1FbTE
WbevOM7tj5qFsvTlfp6D5yTHLFpPDCptjJinMRYvhouNrnTsuzC2ckxzGLCNSL3GrsuVjozPPo3S
XTF2Bzfq7zVUYcribJfW+CxOluunV58Tkp79i8Wx/7OM2n3SJu7WYu0FFcX9pqrXxutfyeTs1mSG
dOs+JBNDT9UetMCXyC2+jna2gEAWMBLU9XWEmuumXN4KnknIrg1PFtFLXx+BAT/PbMs9IRPbzv2g
6R9cZQKBPxSgFqDY7wiaVpc4DhBO1yMAFRJr2ABYqoSGbCPhfVXotJ0JRwQB9tmqKcmMGAgpnvt1
4+ivRMPcxtLRd5DV6RknAI7oagCKrNPvzQL2cZgj0sW1qo1VEyhu2sfWNLpTNzjXqVAXbSGDZ0Z0
5wk45cqf42MrHIJYsXkiI6DkAAqK0qC/6cimWqUJ0m+zzx9I0MHzHujPfYUOY6owgQZzX20iIbZz
XagT9ENEz8m5AD2+qHluR7e487s23monPKeV9WbQ+tkWgz6kQ2ac6skLTg5vPZo6M3mh0h7o7NSU
HeWA8LtDjQx4/c0A/gj6yz9XrUearmE+cyc9VzHcQrRzO4+kO5o7RM8rbyjAs3LFGqvelAIVnypR
pBk2PJEu/w5zDVZhvC6qEDO1JcDtfmw0QFlCmx/TyvBPbXCtapzW+ET0GlUpKiSbCYafghwcB/ea
keiG93dAA8e6s5N3RsPeQY8pfKh9tJKCgTz1njjKxsiOmAxx8Uf1xcwK/5bAp3gbeIQ1qIcuJAEC
svrNTODryqqn5MYYjbcxa68a99lem8RHTIP1povimc4LuqggfdNd/1TU86d6FrcywsuORUcr5M9U
hAvpVMK98Tlkp5CM6+plbEHTdObwqZoc92Q1eNMGPo+xFq5tRsU4W7x3onI63ftzySC+NYtD7vL+
cNsDE/atO8TWmbfWI0AfThkEKQ/jhKEAQhzi+X0yGcMpQRLmJURGg5++OO5w66D+P6FTgAsexKfc
H0moCHGatEZVnLo47nZ5wb2U4kYdJ84ZQZXfpoOzw8jwnSS8u7bXVyssxY3XpKeqDg9OXFjP3iIP
QaaTIZeOP/t+zJOKjU3C1x6HICxoWrGso5kTtHBXpREnu1EG5q2YniZrQlwaXWzXRJxYsgYLiUVJ
KPQi8NMN8wEfHt513NCHMS6++nB8EqNzt3abr01T0G0WZbv3BJVHZQzmOphC9GWtve1wN98ozfm9
AAfl1AK5CJKRvsxfaRH2t32LtlWRoUADa+0vdnxElhv4rPezQ/zF7Cb3PSawYLzM7ddCEyKRO2rX
5OZeZ+HnwNTfC3tEzQQWgdY7XAgruS1MlR4YKKxSY28YHQ1eI8y2Av/FnknLfW+Ij1DqEq/8KhL9
OR77b3q0UdZgydnRrB0QM083Qw0i1s30G468t0QW97ihcCIwEzh4IxVh3/qM9/1Yn6yx1idqJkbI
NxX+l5X2IfzImnwBhIj2zmNW8UGP4tmCLoyVu6gJijxmAeDtIi0DLM/zA+JaHNRpcUhjwKRR792T
yZ1yHPBBMgGj2ApvQARmoyCzVbdu9XjMe7qzrkU+TEAh+FArZgeWCc9y3KQJtnJGV/exBQ6ho326
tu3w3NaNOg5Gv3caQq9rb77UeYq6qvadq63p3s7XCJHs934w7jGAbwfiaJ5aVq56AVAK5wO3dXNb
IbOfMyi/Tu/thrc2tNqtUEAdWlQkJUrhtvf1UQvMKmqMLklT8lCFexd77Ixf68anuFq1aU++hXZ2
tZ0DaDTML16oravOA/MKvrv1jPDgw5A8WUW6Q01F6TPNH6MZwmit0s9YfoxHZTXtMUTsshoD57ll
bLdJA+uBBoKDGM3ODihN7MPUeOAUiMRxeZccGNRCN9aQSYgLHa45rtY8b+WJ4/L/jAYGQypdECpt
sQNrORwrvKhJSKrPZNIFgzEXY2o3aIjYA0J1YmLyUN9i9ZMfnFKfexca1ig3qHuERM47WtexiJJD
EbtHztK7MvMZrjDKPBDki2xqfnDSgIO8ouc47X6fT2Y5pGOV2RSWxfH7v/+L/pAnhQNJybdcYUO+
W77+Qz4ZwisX/B4G7XomacbrAOdEqXK3Hok6TL/QlbjsiIgGw2LbcKlRN6MQKDrvUUz217BZeyKW
DM1QnqTxePv7Zyf+lu3lSdvkH7AkdkiHEezPzw5UDGefqeXZhewbaUKULrCe4L6zd5gLuZSNG+/s
3NyS8Ts9WLJF2RA/21Z0w7Zj7BpiwYFokWxLAhVoFlaSQtBZzo0D8R/m84yPBy+y/kMombKWgLyf
rqrvmY4nXNeRpunSRvv5edeNA/on60DvvQ9M4NCmt/i90Z/5k3NBp5U/sDh9wUpaHGYqrL80MfBy
4IMZiuQg3HMMru2BPlw97Yypdk6D5zeneuy3qJHSD0qkH0J/ynchumGGVt2OVbxD75ibD1gczYcO
Y5fRwKCbMWuTYgEZwaw8II3Zx960+0tXJANe4kYsAevRxm5BgmJWAgapiDMoS/ACgRdfEHzn57Cc
x02Fi4JCSS7x2+Vd21nNIxdAAe4iAcLQgL6aRDMLt+hQZmYRn2O4h2v0czbWySFmyR5h0rRJzKoI
re3QgOWCIYf3qdKex6trQ2WrsKFz1mrPfQGZKI2tZcALd7P0uy0INtYGkfqnEEMgxFmQtvwdxCg7
wtgnpWxuZqeM9iqawnWUqXaHnr462dqAwb88vH8IRv1jgo5x959PZVER7eidfYTVwFysTWmjsUmQ
R7X81PvPv/+oG5HKnpEbo4I5ujrLQ1VgARaiu8y1xoJRcjS1wHSTkV0w3mTMxBogvpEg7d0h+F9V
SzOxDgfvke4Q4R4WsHPB6Sft2wlIOg9ZA3eis1HmY2C7fW99aUtOR6tHShLSyNiORpFRgndEkcSC
rkKJN/f9wbGcJ/TIao9XKtni5ikhrVTuwW+Mb03S5/iQIX0Qelme3j9UaXydGMd4jTkS2Jw/dK1d
HejV0kc1bueWXKxZipveRwoKQeyTRS14nCIJsd3SCYkGYPbHZnLuRa2RbngkPYCdCC7vD0WVAalw
G7CmKjIuuVlSE5styTHUWff1oOVTDFDRN5L5cS4KgaBwFpuQWsqKQvdz6IsB3xYIFBmS0SNGRk1t
NaydmOSajI43M04U/hOvhT+rO6FvUs/3rq0o1V0z3bqpMnZ21/onb0RQMNQt4FrpjBypbXkijQbK
u66ny93IXXnBo1yjcrZD+AFN3e4YgQTdanZjdWk5lxnLsBSrV3Z612Gy2dKBmc+jERa3BIpVjA/r
V6CjZJm6eYsnQ69FNVinUfols5PJeKBbwliUbuiaFmVCo5o4haKyxnW6vE/a5d1RbP3QyQ4k+ZXP
vS7SVch4S9a5flBgBeFkzEQpLCABJkr+xcYAsR1YzknUqiDjkzEGWNf85FmAL1QvsGfBsb7LQtwC
ZVG6m8hZzjBxBq2vcRGyzXmzdt2xPgnstiuSF5q8gS5bexipE/QVjGPj0+SF3xt2CNQp02WeFUpe
WPVCVARlOOWx9ZL6KHxNaU7362BMcXMbBw1e0hIlWVD5TEyWzyWsN+SXYT2pG4+jCiU0ClCvqnhd
DXl2Df+WoLmUZ6ujCxqKb4Gdjgyzbyga1CVQNvLVrHhhDm+f3WAIoR3VGALTJt/WCkvkxNkzWBJh
pVYcT8yi2cakcO3HvECAYVivqCmmT9GCS/fLXMEWHBjgwAhu7BGrMWrwHCkVOk/Pj95w7YoDc0t9
zKFIbgaWm3UzGTA9B1PfJXIOD1hmz27mN1cZ1zbFqk6fuoi3iNGeSpVnF8SFya5vPPPWcGlzeLWf
naSLileVw43EBY4lVRLqUiaQbaZT6iXJS7cAnKe0c4kxsOhqoHfAjo6WQwTd13cfEIGv8yoxnokb
GGFUnbwJURD8WLv7iNr3TMPNP/j56O5js33roz6/j7Oxui0s0121Una3KBjVdmplfLGHdDr0on8p
ezof/YBZeHTHTY4xcwqc5rkpPsUKyW4oOWPUQ1ZSn0DAzPrb1u6W6YpR7rFr9FfP8U9BZN3ERKhc
g0AZx6nwagJFopUZSGoHqFm31FJM5GZOHdZQGPjf6n6Xl91yQZdRpcSYZhCmQP/f+a5hC12SAWpU
G4bDqV4eFB20ddcLewvNhB3UrawDw7b8wwyd++By4CAbiFJRBqCZMgFjCDTmMSYfY2PQLvhq9AcQ
O8WZXk21z+1gXocTaiV6/Cit8/xGcRWe8yEAaBoE44lBrfgr8fd//ZRS+ocQ8P+PsrstkxDb/3N4
N3DiL238WhDWXbQxHAbqyPcf+Su72/L/pYTjY2fwLWVTvfGX/ZXdbcl/Kc8z6UK7PvWRcvz/ju5W
zr9s6TkS+IbnAGBbylSke2307/9S4l/Sc2koMEW2PF/Z8v8quvvXetcidlpgyfAcRayQI35Ji+1p
BM79gjJWLB+YpaCReSWEiIXRjGSjX/t09o9FJRyCQ7Dxp96gT3PQpwfY2J98Tde0FpE+oP+9LyPf
+kPpaP2cF+wKy5bSJ7vbdH2hsHtyjX6sx5kzI3gxOOUPnbDXZYvLZoxuLDOZlwSIY9llqL8hvQHn
Hb/Oc0fynWGRJZzGlyGgrejhXmJ7TD9nTbUHMqgpmPs/hBr/7dCwPEnH8bDP8Wo5OKJ+fpI9osuw
NztjFRAza6PenRs9rRIz/JaiGFmTEhJsUUR3pFEVIYf76GsmmFDJ6tg7/oDXRByW8VvvrH+4Ef8h
uNoyl8vzY+HNM1OW7XC85eaDnPlL4R0I25zNwgkhlYR4t8ucjmoERyOeDRxC0vSLY6mMp6YLnyL6
kHvDGaNtqxJg1S7NJPb0I0MTyr8m/f6eyB2mwS3RRABRkXlTJNcbzw0aNAiIhczOxo8Q05KQ5HHS
X7VA7mKPWmll1YcSJ8FGGLhvmg4mTdzY5v24eZ1HEEdZ3MyYrDpCTmQRHhsDL5npus2NY/aI69iw
mR8glxzxaoPe3OXQt+khGne8UbDAE0J0sDutwUcskUVGsS8mF6RBPQeM46G3Sy8+B/ZonbnHDiGr
PJUSqUnkFwIrThtIqCEJWt2oxZUZTkXHAaAy/SWJA2hVWWW7TZvuEEBBOqPBWOS05Sl3mWpHvVHf
ar71hNgC87jg+Dwwe22WKs2qumnX0uvJDCkuTt9u3KBOzrWf5Ds2lJ40dV2zfdQnPzU/WogJNgas
rE3UMiKzKISPhTMR4zpQ4dspVkjfS07C01+7HBeDpaZXD1LiPiMagol73G2mqt2GmVWAVykv6SIw
drvM3v3hpvr1ELrcU8LhJGdL0xOOWN6yPx6Rxy6JcsfkTNGt4eRAXbVbte+USwBWPe8D9BxchIw8
6HKMceiO36GT0FaipPj0+6ci/+mp+PTvYGW7yHzMX6LjPY6cOYRGEqXn9miyDCNz8On1dzu6OtY5
cyUZt6Pc0QUGbxcFH424UJvBR/1t0URAOsrmBlVX4bol2ncqX7zeBdmdNc7O6tw3YxDhNuwxYU66
2eZUKNWMLWegFTPgyNmaU0X3Zoj6jZ3IR9TuYg+z5fz73/Jvp2cuuG36ps92IPif+uWCs0DWZj0i
1SKBL7vpurw6Gw+DM4ONJcRiG3IUQL/enumNUsZUJDKJDF5Kx8mybbzVH57Nspj9sqTYlmkJ9ivb
dLgJfn750b2NisADhKLVV8uyvtPUlTC9syvreLYJyc3GQAVpyMDvTGwQwE3TCGJi0qBu6aemgs+v
o2LedKAGWDz+8PRYwP7h+bm+LS2WZFY+79cdo4w6LzU0hezw7JS13MtOevCk5ht3BHA5J/KcaJyC
iLUP7pJVYWkZbGZsQrTuXP2SWPa3Lsibq4IhOE2GeWq7LD7M6C6v3NvrpunIj8mzYD2WQ/mR98e3
rjaakwbIM/ZY3IygCdZpY99FTd+tF6JVaJyZnpQv35lvsbCRDDBndvgRIOW9zZfTssw+eW50Hwt6
1/WAMowUybfJw0bLtG5nCD3heTvY9YzqKcosamgIQaD/mpaeLW0+i/TtcRXAVgkrIzhVSQfqf9Yv
nIX9LTIWf4/c1WN/h3iox/6rNeKXzOZH/qn0VE5Vhh6QnLwxtu1VhvtglUw6OilzBq0feoihWge5
VShuTLBEOCedu6TvvyVWEZ643+xtyVKP/XWgcLBHMEcyBuIgmrPXVR9cXQMlZ+YTuv5B1/mNWUTu
QTjKA3Qywo0I+xMtk2fwTUhRmoiQibBGPuneqTbBP4h2Ypto2/w4iBgrBl5IDcoCMpEQTyllx8aV
/jp1yKNgitFwBHLx88oJnUA5wnmNa3MTZDR004qgn2oIXvA8b+y+3tNDoRngl1tp+ceB6MNt6+r2
OI3DsTUeDW3317aev+JBaqH++wCsCgveS3zARvrN6wbjyXETnB8Wixx6u4GbCfFrNzL90Id3LwCr
4BN4katnthgXAnWT6pZ/VyhOXi2/Vdg7e+2yEeeNie121sU+Rbcwb+tEBlvWVp++Z+Ac2QU3/px8
UYxAVzXMms3QIemKySZjf0GLPUTfybxonsZSPpSUAUB2ifEazWVmlFfjHe3C4OSP9+/GAq+yn5XV
P4d2QzIjf6Oo3dcsMJtjCLaEYV/T3pDefjdi5CaAai5hGsxc0orlRGCM4lcnnWoYgZClBteVXvLa
Qt6+Ms3hVYKSj1IDFIqEWyNm8yIhuVIQRCfel4CoaeaxOuESDMGCuMNbaIptTqzIniFmvsIb9Cor
yGGBO7M/jjShw55+Ni2iFVrkxZmxzhKi86hMEwLTTwoX2AZcy7TxLbEEuTF0RYybb1IDMqRbGYiD
ZxTCc1jXjxG/MJfWeng/QRZh5AAQMLFxy4kElMDF5VK9gUc/1mjV8An3D5bPSNaA2Jsa3XjXFwG0
qSRrjyin6Vs4cf9qq1s7oNWVj+2XP6y0/1D7OqygSkhBYYm89+eVlgmDBfWPlWxoCGwtR5Q0QzTa
K6YpnP7jflNr8EYyIJCUDMOS2b9GxEnFhH70jphkYlG8YV9bSYsGE6e8KT+D7O3/sOJa/7AJE4AH
gJLzg0m9tXz9h3qA+APC3QWKDQQoa7+Hh7TYVjnPx3dikaA5XP7adT6kSRts4gkgdxiTquaR9vvX
wfKnc+X/KLr8royLtvn3f4llv/9lb+IcI2EH+Jxl/laa2HRC4kEi6m7zzsdo4OTrUPQRpTZwORxf
jryx2GSvHq77oxlM0FL0k1BMPvNQfJjbkpKrbl9LOpVrBoDdi5dTJWSx6pmK+I/JoKfj71/k92rp
b09ZWcIFWsaO6v5y9WgTWm0bk7ib53V3jDsQ0PO8pOV2XbPLZUlKjqoOwWQ6u94Pv7SGPucVtYgq
fCiP5ReEWSg/ZdMfctO9vh/I0LRAEZOOoDylA2SgCGEqCuarMeoNl+MJam6+7r3iplVA8ykd/19e
B8dcfiebOYrn/FKx0LSz51h5xE6ZwN6Alo9gDMVNEqDF9Qe32Y0m5wzcKgZt3ajZZnhlaAC+6qYg
qp6ay+DvXhVD4+67WHYws6svYZ9igQgsuQuWCZlyuq+/fyn+6UamrJUOKwVtfP77+UbGT1k3YyU5
LOkBcVkZiIM/tTequlTCnaDlIBtI7ZT8gYVQaUXyyDsf86IXZne/fyruPxQxHHlNk7aBTcln/XKi
HLPCmNysC9d49kw6dDUaG2/f9xPuWPhPxKNxyEX/oM+DhxgdGr6+i2uA4Zx3JVoke1P4WftoNt43
ts32Q+yPz3MGKLsQdfIY2dVDY2v0GkOwL2PWCFswjmzRdLa6PCRxMG89l64/6KV4NVTpuczbaR2m
/qHsrCXoU2WHgnsWrl77ZYxC1FpVqG4L6H3HwZvfsjRECA3o2SFBEqDniG4N4r2TYSfw27uGHGgi
Qw2g/SWGim4kq0R39Smc+c5B9Qv5Kxe7qM0u5Zz95WsLc/1tqFjTGyib9814SSuT7qtPt5Gg92Mm
xw81zZfL6GPKYkLwRQtmML9/WaT99/XF8yybAxDHfSZwv9wh+aBLSXol4SjLhiqZWnej1ZyhOwOW
q5xpy4J9CTXUFkBmNUvI8KbmJZSooRErCFoMDVymnV2eBykIJYBHlQMh3pK+JRz22EC9uN14JYeT
E6eD7r6VtKO9oeXOz6kLWlhIqPomjdj+POvFFNe6mz7VxU2XQuig5/eHt7JcNplf1ifPh+cpEBMr
jzvy5zdFQFY3lBQYg27vkQqaKDRiiCmwYN0jLFTXaCRIvu3R8fW+6W5HRZ+xjJz0JqWyLdmWVoyG
i+0oLHJPBZVi/zmEqv6YRuMBUgmpl6W8NXJkYnTJabhOeXlKRgCDEzBSZP/lvKZto7aDXUTHBjgG
OADz2QAC/VINH5uQ7vvvX2T77wccJUEeeC4rJB0V9csBwne1kSblYKxmIxqYfskGjkL9MMfmSfY6
vqvz18LT/TEB87Ly5iWzg1LkqIwJ3ApEgroDXGpF/l0EDOwcG8LZYCCB0R/L6OxH8QcjpBeT9XNw
GhrHWQezPd5NPcWNO4XImxDW7O0M2cxirMMZig+K+T7DCN+6ET114TC7+yaW5Mo7LfMJXVvXVqHd
GzysS3n3VDYiOC3hjXX8iJaW7HI4mAMijk1B32nbMk4MLLGM0skKnk3vaNTZxTcz+5KieHXmwj+k
kSCM0O3NP51ll+3s59tJSc7pis4lO7X1fvF/KBaQFqdZFY9oATADbmKLSjHUHrQX20ExxtnRMGjL
U9unbGp9uDZAnvEbY0+duPV//0pby1H1b09G8CLTycD85Sz3/g9PBocF3feKV3oqAVlWXrRz0cri
fIjXGC9pATTYE4Wgzc9ZW8OfjCgX9xnkYMIt/tDpFH9fW7gy3HQeKwzyvl9n+50x920Go5cgjsrf
Tw1424J32i5b1oEigv63kFKjLKq3CNBwp/dqpXvsLDYu7UfTWo5SRoAlAkFePnL2ByoP8jyxchSp
hA7rylxAms2XoglCaJtQPowEE3bK6fD311X8wzto6U3TlHGXF/p9o/3huvpmAOuyg+zrM58D4N8y
Hb+EDpEZNMnv7MVqZRPI3pr5wYlMLCaWe0mWvlXpsDcQyVsm7QHHU7v1CcQkjco2TlUUBQRsk98s
G/GxZxky2kLsUNRy3jRqFG6efJHh4Q+/yt/647ZaOuTYoXzFPbKMAn68RYQarbSHNcCxGNTtZPrD
jgGVfc5k+sLen4LYu9Zh9dHXgwDP2W7Crus/DE5Bh5Mi0laFcVZB9LGoa/+kLQO9LXhuPAIKugOm
4bQN7YXtTepsYW6kXwzX1EUo1QaR+4el/B/qG3Ysh8MEJbJPJ+mXXn/UOEXRdJ5BU3bxyRrjUzjR
H6k6D7pCjp1piqmIgxnPYsadvi9c/TDqwPjfhJ1Xk6VImkR/EWbogFfg6tQ68wVLCYEONPz6PfQ8
7bTZ7suMTXdNVtW9EMI/9+Nw/TkU/d8f7L+3FQ8bgm4yeHB8B+n8f3+uGFGLxW/gsKHVhMrv9g5N
Wf/3b2H8e7sWFoYebgLbimP9y3YCKi6vmSHSULDqOC4ZPPZH7L3zlZIkCA0FUnIg9Xqxahrp5eDW
8JrGH33EJyoLbN5Qz/78UZFRt5IYf0HDFNSkFtjemmHSqgGqaBkHf4JVGuD97a+SA7Pd8cpd5p9G
skv3CWyIlhHKtjWbck8x57ecM4DBS8PSPm35mQZAV1VM/kVPKJTT3GY86D0nCJmxOsPLH16WpYtc
1q+zOT52cQ6Tc+6hCFTdRO+L9TFhUd0bsNIZnq9h5hefMKeLwG/5A0ibRgDanSYKm8h0dcbJhebf
6+4LhsQ1aMrmDKwyPSsVR7hBh9Oipi9L6caxKu4sLhqR7WQ2eaF+B2NM7mVbxjunRVGfS3o2CQpe
rPQppXzlvUBGgihuvnS4QKM0xpMsnd7cXGoPsFR9CHHJdV+V0IDTPgcdZJZ3hb/eq9a+5q6aXFXt
cr1UXAqHHo81yYAwBtqBAobQBaDwesS9hpHEppU757xVj7lxwsyUPiQu4ZGuOY3yMja+vBlL9hKi
w4/gTKhenLPbERXoRHOAdi2o/iWLRovSP/lPKaFEaJLPk1b3WOydAjcBL4V71NbqmgORcREblm0i
t+5u7INUa/SLSbNVYBMFjyaiwmdrw+G1tColnq0dZtNhXqtN5ff/8zgb/xrm8DjDsdMNvmtuBt5/
rUXzOFeQ0RLC7q79aVEUdGuv41srhHXiJANe47t35XIeAalSXqLLcENdXxVLB6Q6X/m6sm2sonPu
oAlr2dTOhbICJt1dkhe7te6uODJT0YUaceaB6cKp91zYeNV3R2zVIEPq9aMW2hne7alpxQEl5CbN
mw47VXahqsrXRjBGgCgy/cPoy/QkAIHDVsYPLaR+NOf25j/8P/BIh7E+V6ZjXJlWf10t4ZDZNCU4
dXJOy182A0r93Jk86ETFzD5tHOM2VifhpfHZnvIB0Flc7RVEYUyKmnmbZcq6JR1qc2m4yVoSnRIb
JtTKtr5ZzeYrqZybebUpJdNmRZW3grWwfuodfvXEzoIsK3i1HZmApIZZ29lroCYl9w3OKfK2aL7J
KXOo6KtmB70WSajPvajjbxiPwtyb3Ui2UeEKLRBDopyA9VEatOhN9XWemUuwtjkW1GbA74JFbelB
xCA3QQhubZojGmxRjuuMN1MjHgyvZlZlzdW+1B3oxlStOhtYiIxafJo4XKcKnmfjmUAhuZIhRF8K
stFcipOCMpmk+n8ECssz/qWqCGtboZm+Wj63AO+/1mpBhhQ+LM9To4aYUNcJjkvU1sZrR1pkP2y2
2HX5TgnORJ7ezBzjEhjbuGjBjIsXpmCkdrZaes8nej0lwIEntbfW9IukJWAoaXwLGhFoe0o+65ga
06ThGa9Jl2ZYhHZ4uUw2TS3ySf5Bn1d3Rh4/Oqn7U201bXHy3FTMGNfhjo3soPnFfTeNM626sFza
FQyXlb66kp8IVJhB8IncG3Mfx9hDm4TmZMx9AHfloC18C8kMqWqxaeaD+72fJ+2H/jqdsjwWDRcd
bquvpnOcA2MGaNvuumNBkzqdRyPuNde5N8mwxXI5el35OIlqIIjJH7534TuAVQrL6amO/V9S6GYA
lGTjWyCUZa7zLcCSLr2LwRy2FvUB2IotJejjsL6sJhp4KgGu8/FwiVKKOyTHOpAgHVP4pn6cy3EH
14HcsIg34x4VQWQZPhvwXLuhg7yppf3Fe5IIZ/vKQQAc1vwhmzBCNyt4d5CMUZPjjoPEwjR/AiJr
2e8dpSWdASfR4XPsDWuOZqofYYnrH0tBmD4BjagrOCvKeWx5OGCmLxcPjxCU1HSHoIVSCnacol1q
ZR0IYWPhHIZF3CiRnWWVmAAec7rbsuQDlfeKwAAYJkApdsOHg5rgBxTMXDjZkS7hiDjS3MtsFCoL
I+epwgxPGtKKjEZ7YwV6X0pwoJgV7bCHvVWThqTWj74HwjhR5rq3XIkI1NXDjmQkpQxacZPJIo9y
aUFr1FIc3NonxzhoumY04JUMXZ8f4cD36jWIIb5ggDl2KbgioLHVcCKg77J7Dt4OfM97MorHtckp
xpNf0Ffv4LVYLKryN/f/7C6/5yF59ykRCWJj/09XUFbiZO6F9Rx3k8RKXdKgmqifqfPHoGO5c0lg
konED+/CPtGKV1Ibx6ys3YCYWrGraoq+B/fO67NPI9Ou1cRfdfD54FZt/HWz8Yhlk3LFhH9iFNdW
5tchgzgQHxYNAjLJ/6a25gO2q2eoTp1Irs2Mfzssygt9OhYJnCW3iZF9kt54lHG5RGKc4c3xtVsk
YEI++TF0xP0sCRmSYW2oeuZ9yWeCWzPnRcMB6cN88sckyuLNxBN6k1YjGoVDMVFXZtTZJSVQFOrt
R7pWhBS4dgE3u8stB4YFzBjXu+S6IiSZkEvUiD7BnafTe7WPkN9qop107OH7pTnL3VyEQMfE5Hyt
Fj+HKUEkt6Rg6dPj0dyurIkRIMwC5y+W9Cp+XxU2CH2FO64q+oZbqPZFLT9mgxnFIp/+eV35BtOd
El5Igxe+Dde5onse+czbXmU5/vk4IgfR8on3HkMWYXM+iB9M1T/x8tzwECY70TWoG/aw1xLKBYCr
mMxE29tE9Z8NYn7Uzr9YC5DHDE5rmDK+1wkJh3ES+ave+3GsihphNxW7xOOHW+VA5EfHHcZC1Dr5
u6ZmvpbywUXHDhWFhxov5daf7HBSC1MMA0F+7ywD3vmK1tJU/8sbDaCSLN7LlN+Wyivcz8Cq/Nyg
etCHypJnECDze0unDQuvL1RLb8J4uf5Su5NE8xGBYesGrim2sPnLxPOn2fEpgnB/FS7B9bL9JEtJ
FYJFaqP7HDoPDCqGZKcdf8gpODzby03FalXUaLnUYcd4BIaDN9q/DrWGjgaMtChZMJP8UW+Ms6jS
R58KCOVZMCY6VnlvpoCE3teQc9iPns0PpeheKngmowcbQ62caZn0XJm6vFIVf1td8KlnK93fMZmQ
zoC401g0aYmaw6+n3ZuNOC4Ty225UFly3dSksFwdELZaQxd87dZYziOeSbofUPwgwHp8pS77UF4V
4ertkbUNcG9EwSpeVwYyfRj3UY2hD1sPK/yeWiqHUSTJADHw9ZLVOth5QtvLnba5ozOtElGxFo9N
p0EfLEeQMzG4N+eWIncognpq47mqvtJsqQKTuUdER8IOosl3k7dH5nXMqEfiHevAw2Zk6k7z2r+W
knuKz8qdgfcV5OiZRmrAUQtPaiamxzjvn1oWfLpEGi6n2FsLGHqhW1vf0hcXLDj7mZhKCOOjoOH2
tRl8PxAFamc6aDTL9lXgLdYjLuU3HEJWBGiCwaiaLg18FlSl/eJnEHxSnpkWDnriJWTCG4uSqxFV
yZv9nQWTzExIw0z89VKRuAFg/Sgf+bISlZChsl+1touj1sx/ypleDV2ymGJVnPQRX4mJq2HYvJD/
/Ae/l9kVFg1wHFE2jd70GdMZPAN8S0+cpL8pkwKqyYE5TIxlNzNtDjilf48NLVnkBa8IuJG70tD4
GwocZqw0ATraye/pJ7E1HZd+7f/BsT5Pegyqg4ep5+ruaKwFhc6XWtGEY5TD1bS2G3ePYWAKuVN/
b3WN+h3RMckcnfd8gEkBWCwSgjIMu21eHUe8GQuGEsbnMSqGB4YZvmA2fNYEYMKZIEgAmm2K2LpC
1WMjXTG95jqkS80nmk/Z/a1jKp5ng6Ca50VVSwsgDbBrAPXgYWs2jOUr0IjIjl+8Uv9oZx5GI0kn
foj5HvN2e0tH/sdrPm2H0UuN935kjD363RuF00agL8a5sOcGwFtJGJtVtenxCAzKeu3L5cMniReV
S/I2tcnTgl2aQC+Z4IEXW4/pQ8vKma+rrfdkrJrjhoELtIxu2xZk3IpVdcddgohTeYyrBc8Q9IJh
/aNDL4a6sQYmzU2lC/4+czM7VC5erNVUF9haNKI4+Lc6OdxqDSTRbEYv5DiELs/bna1ADRaOCIvl
/7SNeqfPogdMekemifaZNeXy7CS3GQRmwqieveuLB9ja8Y6rxE+h0x7CGBlMdskup8qLGDvnwIHv
MR8s7AXt5zqxTxZF/abZLc9Gp8Ogk95z02ML4vXDvDF9elNK+hrM295C3ae5nFrkIpLu7SCTx67v
w7xeSqpRpxREGcUsWK4g3nKGq93skUzYQsfdbwPb62b00x9zuSo32CadagfdZDXjEXjFRc/aRuND
pvEI510TGaneRrEwDiUPadgVtKssJYIgz6k0/FdIi5Q8jTB2Fr5DrrMvs7FcV4X/Ofg5WO5yq/Xb
uOp+0556WMOBMotP2No7zeBvPJYkXnMkLvQwhweHTQJECNAG/mxc0Zs422LkdIxQyhQIfc/8Kg5T
mKuBMUPrkoTGANuDeVpbmrYz2OVd8S4s9lBv0Z4qUkupIuUnOVWCsRVJpEoKEJLmh0gZ4ygrfzBG
c97567et1J9VS31P3hvqwlaU7FQAaaYkP6QDcBcdbstadaQTQYyHnBXdpQFMQL8fDYmcXxqRnKg2
avcVAs5eSFY0FnQ8sGQQrNr+KBEcgaLauO3opo5lK0MirGFZJUNoLD4KgHGfqwa8My5Gmgicc2fB
qUgmijSbejyMdqmfnID2IXW0RPps6ukhyS1aFVyn2XfznwFZiHsOQT6MFBGXxn5XTh9NM9CBt3Cj
1BZM4SO2VkbutC+O3wqw0q1qFNXbIOKR5hGjZ1LAyqXToWfCrtL2WAGfuBBIOE+DN10v8xfTsWRv
VyaeiNbfG4aZHbVZRH4s6pOTQ3bjlhoQXENIUhgaXLt9i1eC4Yxt6ZtZl6OxWul/phexeb9o1qvv
cpuLCwhByFM3Rqa/bHZ+16ASc0hWhBzRh7pHm2lWnvUWMcLkoZMFFWmmzL9LxUNPRgTqqDEHg/49
xaLZLVZl783aeapm+dNnKbVeJOptKDGO7K6a2eXE/k8UzK0O09r8cBO6hahJw9RW8oN/hiNi27/x
C8FP5nSvDcVTXCR60GHxCV3FE1Fj9Vli9TaXtE+TsL13kxTgcqvRnSsakhUd0BS+agGVMBf+Izyq
iSAiC4RyLynIh2CYOs4jy4V0N0rixl+gqqXjQt8zngagEnCH5hDPKgpL6we7GaxvTpWQ8wklDWaa
70YXKkPFy/5E+XQb0jj2MQM8D2UPBr3fGY4JS3o1drUabECXJXvE6J6oxhqj1UlG3hK6Y9W0HBuK
0pjVfo4+HJC8Kj9aPedEtF3h0nk+yL7Uw4T2t9Ix/rIUNbOAu4bKxXI7LidErX1sEO+oR/XX9eRA
cz2HKt8edZ43owAu6Xt8kGX5WpG9wgHX76l6ZZeLF1ot1KlXeGvjkSSk37wVbWpyBSTBjZ/gLsHQ
vucFKfd0jXz01Fhzn+TgshrG1yCQqMQCoxoUUB7ZGIvIIqavqzH/QCeC9U7pUjsYDBLVZqBiMUoq
gHBoML99svThPHrHcl0BQ5TZu8qzo+vkZFSHR/JJD7NjbWTJGHwrIXJULRya+qxdZQSAlhxKS9Li
raOg5ZnLpAsftsZ3gSGEgJ9uzvCzJPfpur8WlUGzgoiv24lqvoH9Nwf8zIUsGq0t/z9vrLGhZ9Qd
GIvz14q1DdKGkk5nsi65s9Aqa3jOYWzmwzJO7VEySyKzeA+clC2JXAbJbsYGMfYHRUyMc6ZGKPy6
WDM9HA2/OpdmYr8AXf0deLQCV7QjGyigJrzHUJxsDyJuNyFErcDKAQocGgZVR1xpgtu4Gah5Yexs
FYzWvButMXw63cegaksd5fgVjx/fNmVjN44BCmP9R66o6xtqTp15gAiysJem1KUfUjylWgZdcjHo
BkHFjixzAqKtac9MXPGfmv4TRvw5jJ3lK8u7u6RbX8wxKw494xmIAQzrYjgmUIDFjeD4hcQN93pc
gBLYTnw9lCZ7u9fFDMp9VgTojZ0ecSwH5Mm/XOegqNrDaLkP2sTpVma3TO9qwEUdzL6lv/GfDHyn
DAYZgCKEE9JU3R7E63NSgyBPLNptljUci15QOo/MmfLSqgbbb4q5jOKNPqKjHOe9LLE2rI8l07No
MZbPvGDd0xOKC1M/DwtVfmXkpKIUX4NmoEZqI6ATe6YNPpMPquEnE2jN6Lc6ZCDsD6k/Xs1W9jfY
Kc2Ripyc0PqIUiPy+3ZzPSku4vaitQEHpGTzOQDKzSKYr98rAGCOw04ZtKTLLpb4HEUnz7kWf3Tc
Pk/QckBosMrOtUJ9bYd7NsyPeJMkcqeG9VoSC2P9PiBbPvWV99VUn2vHYbny14+pie852ffB1Cfn
ljnXfpBPkIwOrqynwFpHvISFy/bFUctDJ44/K0tdbCeHcAcONmwHulb74WBXEkVSwFQG9sal6rnS
Id/YVY3/DBQpl8rElOP233Pa36bClwAkuJFa5kVI4maJwyxGZESPe+Me4ezFTWY/5DHBHZGKMwsk
ntoENZD6DywTPzSTgDKZIThVuCNW6d40VNrYTbmV+31Bhtn1ffJDcCzS7f7eBoaGf37XpFyvehVO
brcVqwZjOn3UhFRC/veCVgB3VkK+GtkQc/vO0tZ7NE/gETUYpMlbDmYVn+Du3c6luGsMsBal4RXM
KGvoSrJFhgmxgW3H7Git+KrXeeclwoM3nAHTawB6ZdBSRQmZU/F0p3f9bF/KabSvmcxdr9wuwlzm
p8bP83OiecyVE9LZYitUjRyqGg+WHt9UvrZGHR0anhXf62ltBpyHCv6ch2zYVp3uttWr8cguaWWP
wptfqyw7eTZo1SJ54/kqrP28GtziFekC1annypg3Jxitj4NT/Hi++pGO5Ok1WPP9dIZpQz1W3nW0
QnrigTXsSxVTMM5PIEwLdlUd4XdsObVXw09WTBTpiCPVWh8oVeaNbedfcT5+oV/rR59GEvCElIcW
FQlJncp4Y+bu77QcH5tYV1Ty0pDs89Gv5fvGmVmAOHkrNZ+4efemPX6YLSivcU2aSz3T/V5w3BxJ
s53psVv3o7UlN/S/dvvVej/8qmGrE1QWXyloKaU3oI0537KdfAyFEtfOsHA6tVqB6QZ6TV/OV+Wo
bci0KbIETmqtB4lemp0bZnX24rjrSZTlCpaId1fj0AaDIz9ggRwuTuud6vxVyxO5c2I4mEUfgcbs
9kOjPk29pQV89cy9ci0UbxqYfRBa9HvyUjbsbabKQlNeGQodbHYHIBF0pgsiTszyhY5J94abVhrI
uQVbSXtcBGlg2lmyysN4KGYizCOVrbN5PxJ9uWR1QYHgzHZmxY51LJMlD+ZsOOYtinGW+lVILFxD
vwJyhwOLa5TfX5tLwbaactalTpqOKw3vsaBjodEf0cGVttlR2k4+EHqNbFc82/Cn9TRMJ2/cuUK4
jETNOpKNOA3O1B8SVDCtrLwrp++uJLCxtWQxSJcJO242cmEB7klraiF3Os6nUDJqassPH7QYfwiN
PdUDwC20d0FMKEqS7ItTtn52pnYuudPrPZhm3jTDMShlUjdEWeEr6Vl7hodpBSsmsAzyKNs5Urnq
7Gv+0h69zJo4m6b6md2sgPZV4ibDOwO3C8BUnsJ7cpsBKoxjfjnFaoddwNS8PPim/sBWcbUuDB+t
g608957Q771M8ReACuGqYG86X4RJoELpYLbaN+u5NfxDJv3lwbebkzBYia15KXfKQClb8FTvllxy
uYs1MtjI1VlyC32o2Gu6Aya8LdAhqzr7sCsHoIsonvMWM2afd29aGGtlGVgAJcPN3Rk5/l56zrWs
cB3O4ntwAWP4ZUk0NvsCv/8w9/aw2+QpNpH2ytrg+DBwDaDF7ZxcTHYO2dv1bz8SX1a7vBg/8KqT
GF6Y2DFqtAiQU+fktHM44ATUPsyk/tHE2jE/aZId6rWNQtu1Ry8HwQqiOhyA1+/SfteZ1GOs0iHn
Qd97idRZpzazEjjSo6D13AULUDTqvHIaYQJSAgPw2rPVj9uHjELm1PNN4Ri/9N69+5KTGthoKFz6
ckR6f5E8PDcmROymcD/YINwo9tvb0mKraDteMRd0Fey4jBYFCC96IlC+oHzvNOwTqaJUalndF1mM
1yZNQrt2tKtdq65llx5iLGtGnbMWuAgnA1WKVfJckLbeqCwidpmHiy6gMOzBdB1OEHga0Ysl8TAA
vPp062XxymJagVrI9KOd4Nyv8I8GrdDum7Grw7Hjd/CW9LteWkr7lHbwdAYYVYfZFdh+hh+bsnpt
gENlYQLRtewz0VG4aQM58hrcFfTe7GRnT7t+0l/BBix7t/S+OjI5nGW46VOuW9MvSyqBA9YvE9sn
wA8mveU+O1Pe7TphEyBZ3tUiOezl7LJwB9F2ckVmiQqnTt+qNwV6bXGJW//R6cer3jtTJs4RmN/b
1MqZgzxkHd3GUGpQUVbhChvE85okPBO0Y6v8Wbn9I4VvGEfAs/Or8C5PkwTuv4H4meAxCvXtjyTb
fGyT2POenlti0y/LSLWdh3MTS0yrehJY8JUMvElB0uvHaSsP1Ac68JwGA3czcl+WdAtzMZLYIjly
BrWdoVfjD+psetNTSyuixtSeFw7tiV85hKPqgsJbmJh6w76Wr83OnpFLWL1NfiC1SUupUHLZ1cbJ
nXa4Xg8GiwxZESah7X7xiLnMehIZLrMwZ3OCW312hj2SRNlmBKJk6uIX1T7uknk3TGPP/JVainSK
T+jit9DxrnXLfJPV0FxSLZmDxhEPWqvuis4eMf2IgqlMpu+zaWVrE+WeSD1dGK57Go3rLGFVNpKF
NAU75iKLa4rSXst2QbWfPhzNz64khcH6QsenspnmZJP+1SILgnLxMsRJYZ6HdDizxH0mycZyls6V
ISYw6Mwq6OQow2qePzx7vBvU8hlXUhF5I7pKf3PgljZNNRVHORfWTE3fyTj4r7POBmBZH0OngTLw
C/3ClP7ololzrHFzAio/khP2z0vvfQP4fDK965J/7nJdlTXyCeSSfWo2JznCoarFqZoyReWvdekB
/HErPxjMnEgRoDGjGu0ZxqY7O9Yf0Nh3yeA/revRXjl5VrN3cd0FwOq0PvmTuupLoZHAlw67dIWC
LH+d3qhDp3S/VOYKjqzrTR4n73MLvI0bDekSXllsfgDeLe9PpSWDYJs/HcM7dDOT7cTLCdNbBZ1F
berex266B3Qy7RG6mDAQ2cY4lHEBX6jGlURSkK4jsAjw8qaJjbobDgbRN6yCPiT6JoOK6QwvPn2D
D6LQqDtaTl2rOzfIoqT10WgcZ301vWLhROgS3Wd/7hZOz3i0zlKb653fFM9NnYtDXhiA3JVxGVFn
tbrj3r3WPzbVubJuiLmkzGXy+WPVrS+/HDg2kvsgq/aeFjONSMhOQYXL2x0yh5lX80kZJ2OMpKE4
2T6VRHIYoR3NhtuknbjMMarpKfe0KwpUQTR5T5XP0NjrYYHbaA8Eb3mmfY5BJLYAiav0iveLJSdj
iD97Zr6ffetZ00QY1+4HHglEiDGna4urSsHDwgcTFi2HJqP+9czyhTxWz6ZVW6c+H+7YPBkqp0zT
KZG6cYcGKzXpO0CohIjhcw0Oy4I3nOoyH2hARFKFTQEEHpaIAylb1n8eHo9D2jrAEJbh2wX+chXX
BCLIhWNiBpg8jNw51+c572FJJTvLY8BtF7YeWqBHK9/b9zYKgzfWDwMmm9Durduh6T/Al93hgcHv
p69obsvMKIxrcpt6PzAde0N8FALFN6lAp9TdD+Mxprn42Y3WevP1ZgiQH//w4F/5KpdHzkAojyY5
Scf0uqArTmK2nF2zpSlBdoQuGdVwtBtKGxa0AMatbMRqT3biOclBBrGBXKdJWewJ/bHv5e4dBy4K
NXhze88cDzhu+dJ75oD9QmK32nRbQeYEWY/tR3pwr8ciOTI6IyqY2tkTLm6cnf1tQjsQ1PAtmOLe
VyDyooxJJZ106wJ7aHrOODBIm7zeKqu3xra0MyjvOWxMlK+W4hwO0cE6xkg0M2JUV6pdYTT2qSBR
JRj7hyj4AG7KvTdaPzLTTJ42E95n/CiZ+V3NEG3Xetvq0jnyNAk1cWvpWi3tQXb+0fDOkq2fOEce
5CkzR25+R6903uEq/BEPgyyMmdhDW6L6dXWYBVneB256uG+K+Bn5aeSsd/7f5Ltb7a+DsRbItDr6
8woPFESi4RzEmMD+LSRKRky63eYequJyZ80cqxc4IOiM/OPKfeatOww6YEcGYOZhnPO9Zb11afek
DwjRGSQHcJGMjUr6pCh0yzDI/1W1mt/bxT7h0n6ioMU+x4n52XfJGd4St5d6/lQWOXuRn2Z1vSLX
bIahjLwiohCTqiypPopsJq9n1FaYwqizlgc60l8xqP3U/O+wKA8d06mjm5FWsS2DUVSNC9LLUQQX
d0EdScYjqP73AiPAyZLAqkqOcNvPsKWfg9rWDq45XglDI0Flfxn2dMiQ/brW6bGQ1Ak1Ofz6NMt/
lO1M+yFO2Vu7x9a/QGLR+hbPdC2eCp3CdL+70E1/yFZ558yURWk6SnkqFhmMwiqAMFkDNRjFfasl
0YDKCZ0ItqBYubWAWMZSNHY/bGJfmu/YgZdtGh7TBucDG1BQZtquJ0m/c8BeSQdg0TS9zu5CBtXg
ZjasxaHtv6yJ99pouou0mGZiMk92aPaPjPCrQHiR3o7dFZlKeL8Q6HQ7DRmJn6S/0hmtf8e0RGjI
AKEUk/7g0wDAUsV5T2YvpEHeMq/7tmGeUr91TYLxdfT8+3xALtKxtQc5rYBrt4gwtfgk7O2FK9sG
vuuQM2FH6mIQ0R6wfncg8L+ZP8HxteNtKsI1WWVEjt2iRF1hzkkuJQO9a564xXLlAdfJgNr1w2kp
TnmaVmCOWt6jySZzTC2XTgHLwGTT7fTdgHsxcMcmP+gW/VQoITYMO2z41luWrhfaL6eg1nIGmK53
LybO0Y4JKmeZmB76FhWD+JuY+6U7fg4zbouvuLHnIUxHdbTLdDis2vKN3aN3cvxucd7sSQX5mUfj
WkfBRbHg7809BKlkjn2sJtx1t/axgoyHWEyWa6RHuWmEzLjPNPDNjPhqEMTtos6Aw58KY3QYSdAr
ZMfufTIbkQP0MsS43XGkAfDruVcevVCkJyiPnma+wHT9dssafC+wZ4EDKLIMGpfV1o01WBNTIlTO
yaYPWXbjgS9C33cZVd5xX7wT6PZ4vgAc9OTsrArUA/ZWRrMd26mOp7bvCoJSHqkwgc+NKzSnaHro
ZijRE6NwdCzjg/uR1kv2K5cXcBqKs4+1aAf3Ermt0l9KGas9u3+wzKzVqmUUQ3CvDChQvAUX9ML6
e+gNMq55tXw0lk//p7GKCAdgw+PJej45eGFNHbG3qLyH0aqXQ4xjhJsprRNBRWdEMdQZg0REurJe
nYchFdxzVx6txrvhaAZteC78Pf0217OrSFG3nNgm/xmqBoERqaK1b1liX1Q34nyS0N+XgjsRfllx
6ZrJO6vprXRmK+S54k1GHQka3b3WYip5E6GnsNmM7TdDHO/ercLRdk1VH+rCafA0lBHR5ApLEobC
0ZAsB94SdpTdsVgwuXZbfnHzynA1ObQ0y6UL0/FCvRh+Xe85yEF6Wyt0w7YrcBnkR/yoPPQmfsrK
ZS/pNQQoGydcq5bqoOrxxp+Bg3DJ2qrekh2W7Ar+R1/8pxCdTp59HzdPdolOGLtYflyHW1JMZTJ4
B0LIQ/VracnrZHm/ZcyVyOi3EoOsfuowy0Q4ft/djTurI6hIT9u7mfVmF7VLYUe7m3Qycxxk47D2
8I+VJPLgcIGD0ihhCXR8TQWZEBB9fH7UDBETS2l7ylua2xy6LTkRV1yT5ynecBs4X7DfUkl5lCbv
YAwNNBiXnFNNfVukQxkyD3PQEpqHwqzRe3hrU4Il+DMYq7ZjfNNX6k0kODaS3GRo0OBg4xqYYfjg
0TwxeVsChUF2bzKVDAxL2cD10K/JqUFbnqwjvC1GOMx9YwbC0T9LpScn3ns/C8YGilCaOr9T1lGv
ljNZ77rIqtdXpBaq9aisKhDUprHadlmYjm6TN7syF/uxNXYU3mx8BljiM8tjbTG6IQ9LSFBacMVS
AsxyujW5fgW6sJAbuPGzdHPyd4SCi9x0XNKGUMYDwuWKYydl573wmHPQQ5wPKOblvBlXFFn39V0p
KRhMqRNvNWqGygSPg4Unq6L9Jy/ZVvOWyRh+F+3YU+NnxFROtqa5HhDcsJ7JvjhVRr2dZ3Fi9wcc
88DHWrxx3Dz2DP+zK7zRpZ9fMDPEx6zqHt3Bp2+3wCAzkU2uxhS1pJPtLbu8EWQluV8MKmR4Cq7S
8N2YayfMp60h3pvQNHSXzgHfM7mMW+pVw7vK5496UZvdT2qYHwDfRgg6FLQkeOuc1j1VA4vADBif
4TAgFBm6SX2dzhlVMBvltzdh3c+YCXbGYN4u8fUUk+OXKXD/VieXaxIn3Qs8HTgVuiPJiS6q5uSz
wIRVbo3gxsAdFrnqzbQWa1dUnNKKTUiBYHrIvJahv2qjRMD7nm2E1t4wmXpgVdvlaD6VrGEUYJOO
vA7onqPp922Xt9e2D44iTbgEmsz8saa/mVAHaq9od4bXdSege7zLzscqJmRbHWXabeanrRyWiw5/
s0zMdza9idGM1QkwRc81xKKry3gwTewM9B6XB7fLR/YEjuFk9zYc/UBtpLe8lh4Xw8XoH/0pifrW
/9ry30O+0ycMh7NuUXBUOGHrr01EK9lelygVUInRg6gk0zR/5Iw89ECHfE5XBirrTEB20Y7YImxO
C0/UCF0VrP/moD2tzB7/h7Ez640bSbPoXxnUO3vIIIML0N0Pua9KpXbphfAic1+D+6+fQ1XPoGwX
7AEKhXLZllKZJCPifveeK1vwjSqHa0cKyy26ne7ZBQQpPeX4wZkEH67NFHuRJDjQcLo/Jip5biKE
L0IW+irJAyxBLi1ipI8D6THRQIdmoxtuNcdPGcLvjaD9KscSm9Us+FKOh/XIKL7SHHMN/IFkYVKt
e3Auy8mavOVAduFjewNYD1UE6s0yzqsHLsdpretIOQXUJpYrG1NF/dlR46vrXxqbc1edjd4qny55
HXgogcx1ixRcCGzkJgofyHcY27RiDJBysghDA0EFNiDBQ95Wou4cLPkVtSp36diAjy+CYg3xF6U7
GsJN4rTsYXwG0Zlf0bZINY6mla9BiHGfClYk5ZodIAspo6mUnwG5Ju8fNRXtLHag62nA7uDDPj2U
dkjtIWNsratxJHhmvor2+Cmt5WgG96NCCdKmR4d6wZXCVluFaGYR9DzZlBJUCDyvwqCSIR1YV6i4
YwZXuVflYOfIqHYHMRux08229E1k9LGCBTRr2lsSM3vHaO0u6UT5gg734GLQbzHrnR2tvFSD88Ix
7xsEFpw8DP6Wop2osxlKfR0l7RoBlHiAVj1mofHQhBg/WwtuSJrJqxvFjFljdcYtFlE4YlccdpB8
xYD4JBFrham2Hjbxma/SLnkDuy1U3LuIsdAOxtGn1JNfHVssw1weq6T/nKfQnQUjag4IxHMMdGjM
0Z948fVhwIe+4GiPI0JIUpHGt7psw1MaZW+2j/wIW1DhGxumW33uPT+ifbiXMo1uww7lzI2AcOhu
8uKPOIk7EIOGrn0yfeg/jcdaFqfzuDbJb8NYygc7zG8ISXyLBOqMNEZUFpclUBL2zjE/r3vQ8JNW
ettA4kRq6uimirLHYdKrPdDMbW9rX0NlZMuPDLVjxSgCUfnW02d5RI1GftXdSy4SecwTBzPaYO8s
aw/AosPzyKiyE113DFS+1aeQUDlybxGbS4D4HrbN+i6SCS4m2o+2uGN4gphw6MoYELgNY210EsZT
4EYuZttcegxIK5JIjw2hBib+OKyo6fOI9qo1T61409T2w8cXELK9QZv3Vk5jjQD2eRkMBzfgLvu9
bmKQmRp4SSGps7XG5nZyfftGTFyQKbU3rUt1gZBMZzOw9X3ToPLmbUeciZdWVKy2inbQJFHi6vli
32VtshUMITeDGJPNZD8njgVhwABeqzna7PLHy+Gisvm4tGyAHdGQcY6dNSD6TkZZOGvcGqtO5agp
Jfi/gDNS7upqn5k8SbOacm8YqkDWzedghFJJJAkPHWc2poj1Gq9/TF6CUoYy8v/kDpTUtS8dvhTb
aNb2YUSapG3FWtUR+2ZBxfoOvRlFLLkHbW2tU/Kjy5GSr5F1/AQU49SYg/ZQfNIwBa9xAfmHj8B9
Ut0kYeruxrC/D1FRttQIORu7Jsse0b+9xyV6jnVfZxs2jdB0m3jh+RhpYCk4THdZhbyKntRBDRgZ
84GdFyizQCfJljiEk2I8YmWk78UMapsodTsWDQ85Pw/x/g+eB+gCCGrKzI/8wmK2ji0k2Z69bwz6
2mkb1kSNTfyEbLouBZv/cIqjLR1AaCWWkW2qou7WZdxRcEj3nxKIeaWymSSU2k72Nk+Iop/Wlojz
h9CjBcC4rZuee1t5b1FiQMaJgycvr82rExmv3djpG0rEn1r4ZBRGQBBKXOc2QZ7Hrnjuo3G493T6
Z4IR4ZUtxpPluPcfeLNKut9SuqGXgikv6dbq1ApBqFG4+24A7z4EfKxGQKCmqRGU4uBrwvn3ZirY
FoiWy6Uh7br2e6z5o+GzmrOdfQGRtU+NmkZcKDEYTNlCT5w5EiqLWSLq+I36KOp95x35VLlHF1wu
yQRo06ZhP/cqpDfA8t+tZHjRYk6Stnm1TGwlugKGNNaGuHgif89mdhGqKfb/IWtvauIJkejVBcVf
7pxM3jUROMkKBd9gZ3BwZusja5hxwc8kcW2E3rpsphMUquyJV6bfoPVthSATPheP1oxo2akvmPcx
18KGcywKNoFdYj7lrWNRASsCbjI+RDY7zY2jyC6IWyCI6jYjlroSra/WYUZjgJ01/gLFsDjmQbDB
pFqiDPaCeb5FLyWFCpBIFDax9qSZPSGJXtvkbojq17rx2izuSCh0T+wgyRc7VGDx/p56wWCaqtDY
KhGF2kfgctZF7zLwjJwWg8F6oTrXXZYwCRZl5tCgXNnZ06Qkvd9+cRdhgVNhqW+pOk23VdxpT2Em
Vh5ovCnGQ+DrzBzJwzDlQ8DRdl5vu/dTwqm+beY9kOM1a9wx1tHApDByEvyizdEBJ8yYGin9pvGy
6BIW+E26gsWh74tgl8F1uE1b0Lc+Y5l1MGl3RqB1tKiJkjrTKF15+QkGMPZD1thTIri0woqTcO9L
+kyDuRpZE9lKmNWdM4nnSSU3BtjtTTdUko03d6lH/PnWiPHB9d9SROzAa41jYLy7MAmOCjff1OJ7
dHrTWKWSBB6PrnofjcySivwVerV5gIq4TrvGfclwZZcGE009pxbUz6z3Mh+qW4emp2XvWNp66PMG
2UoOd23MTro79h66aZnq8S0iDGQcWuJrn9oz2mF3Em6kr9vxHUaQk0EnxIIDib6h2fhhNGm25iSz
HWompnYPjC3QjCeSXi3tzenasnt9i0l6pyeDcdLAjVqMVfB0ZNPaH8dPFQb2M7DJYqd3kVyHMYP8
rtZfI6vcdbOaKGWXXJPCEQsR6tnJaSY6BTvKeN0kSPaiHjmFCT/fcgDr1nEcdWePo1ipebTXpDqH
U4vBldK7Y+fiLG04+dArvOu5F3YCkzzsf5ojZLwFkifW5uxk59bbEG7ASBfQRvrBN6hl3G7o24F7
FKQY0invZk8F/9rX5L6cyte8e+q7MboNsu6mNfpsjxcGnyrbZ0U53jM3Q1LTEpYxmekjCzPnfHHF
kcJ4VfjGfaKFkJvzQ9xU5ZG7b2fXLSgZi9mA9D3tdmACCDZxDC4ezSdjbg2vZtJdAJQcOBcBgWvA
VmmNdLmJzvik1K5AkjwiwL/FScxVEAHSjvFRFnbyVvuaybib64ncCvqvV3x2dAO+e83tmqUvVFDJ
A/AyJDj7bBtVf8Y1Mqx9Z1bfGhzhPFrMWy3JX3XBSj6CcjpNrNk7OUYBBVNwpzNqvXJ3LDaRJw6U
TDmnvMAA7qAttmFUH7Ue7AP2zWJJAzegVzu6T+J03MNhx2065PlF/2xPIEPR8MZTMDAhQpJizKaR
4ChFF97DFK9XZtRfLUtLDk4lhgPl8RzmFXqjlacaxgCCU7FfISR2HTuM9tRN2BjCoQ/ObRl7W68l
8crmm36pRQvcjYYFbxPS7LT09LcKtDuiRDLcxr67z4nZP+UJMUoSAPOyR6qmK+NHCsjG9QfAUaXM
e0wBkxHsGkmnsWvOSA7hMgvLU8gsYGEjeCxyopyJ6tkgFDZdEuZUHuPM/TKwaVoB5iHU4sUeBFCQ
ncBQyhVWezBxNsc4uC9f4NgQ7uBYpCjt+dTHT/TJ+MSuaIQC9vJZmRA42tCHG44Ii+8kZHduxlcQ
uMQUOdtxK9lkEFTzROp8QVEmul1s3UpPDTctMK9lGRY48disO5xr22mMGf66Aw4U1Fd3RKKHd9wd
ssc2LbR3yoYOUR1/8zxBcwZOFvSNpn/VRi4zPwWUHi7HVj2rKh1gxjLyoC34XSdWwZTEYdsxZsFK
I7fHXdGsOcpjTS/uHU2T18ge0EgE7xAzUrJIHbe4+yYaUERGEk706uEG92qUuSh+kNbQXSx+Arvq
Lnx6D0GNUGQ0LbZHU18qWmupqCJ+GWufccKtRgKZbxYLtgrsz0y5jUdtVJ9D1lqyYc8h8YXnYUge
uqr0DhIDGumCljm6474wrF+NGZ4iyF/TSz//F92DHD18vz3QcwLezp50on78JSytPE41Nm06QY6v
GuebbiK9m/duchOo7nOUTmyMR81bt8idR6uALhTXhFycSLxhwtnPpcDDXIRa0ciIgDshBcUJzIb7
UHhzxU6i6NlgfFuUu8Avs5MuUOUNJ0akCQCUlJ08FwiX14nx20m3tnCWOasiJAY5E8NZaLRZcVso
NrU1u80l+8Bp+JJSfo5pk9kplFJECekdSi0K91lHZCWioRvrhac68Ips7hahAS5NNO0Lh/EQVyyd
UOZYlXvDMl78PE0O5HqKbaVolMTxBpY+4aemoAd6O/qP45To7wxptPwpoq0I+DEPGeYDJMHC5jkO
JuNkwF+K2NkUaUG5X2Bx3Ke2dz1B9tWRJlrN3cdV7x1NAE+ESgCNhsFdoaT90GJrwqyVbyhSGwEI
eNORe/VTplFpEGOZzuxI4y0szpnf3Te+r28qnzu2aXtAjVb+Nhm5uyYfW/sjNAwMt2OdaQcNpjBu
U8fhXVDlTTpuLTYs14xKxsKxfKg1ILVyZJldlCOwBrF+HiaGDnyUzspMaKjTDPk5Fy0WlRE1Dgjk
QjcK4uSRS2jXSR60Cs2csyf+wPLFg1O7DVms9UgaXB2Zu8lchlwkdPELhoc8Mb9wXTDPRfaPhTWu
GpWvZRI6S9U+uxbpUmoRURl4JQs4PbAx2/Cby0ZCr315Y3dfBZCJZWwk2Q7uWXZkGd4QV8aCbLrY
Xobioa0Ne5vZ4yPHNXo6CG2teiYolOkW5HxBgG3Gfja80BLDZso4tUFYrnv87vBccIdbN+aoxt1U
iDcINMRfhHfL8oIM49btNmi43AZjcLDHJ9XRUa8OibsbV4wIs9l4iLAjzrtgGhalhqWBfVISYkfS
9Qh3yViwaxtftT66d8fZbdEMzMgQUjMLW0cW2GvTztJDw2Kn11Oz8HoIVR9LeuowEG11cCiNv5v0
jyMT20KcAk9uz0UUOLSOTB0DF91GKQsNLtceeWQ7Zupz74KXQN88uEbxYPpwr/Vu8Bk4uijpevBs
uxyn4CVnDy47FJS8me+iRuHvosxUx7ZU4k4vcG+0DQnnEL8DR2qeUQVTlGhU1mmUMVIpAYGB08Jq
iOHgAAf4+NjqVmdyohX3VcFtwq2bcDIG4mXHGrc09qljEfcbE/TY3ajz3ulDHt1GGKPIvi3NuM2X
NR/8ErLjdK9FI3nCcIMM1WEavBn00TrFJf4IrKnhDb47RhU6mMp+CrV1aLgXmLizjc6pHytpLpzE
fwzr+obnkGdh3lYRh/yQU8yytDUMrdK3EYtBiJPxwHZN5N3j2OSZxzIF04d9NR5wT5lxQdOF1FY+
Rq6tnJR9UmlCS2t40arOvNZQjpfleBjpg/3S4QaT9RvTwfFrRrp6JlVoF/JjHJHLBgahDz8kDLOT
kWjdpqqfoyprzj5sTZi/PguNzYA/NXFhFUlt3xWA6RejaKhWIUg2EmK8cxICoeBOoxMMC8946Zom
v9XLMKFMyKhnO+ZtCzbvvndsHoIDnqVqrm2so6NrTusK5N7nbN7HCPsAqdH47PYMnzS+IV4/7drM
j49YNyo613r17GCOWlEUJm+7kAtFa3aQ1dVdEgWMlnVBXjykGVsLsgMVvS95n+afI18c6KFr99TI
XI0c0aSU3prn8NafDyq/xrr8DADFzm44OpBMwZnZ+GCc/wWWhbeUtlECnBQMpog/zPuD3GOzFK6L
OioOHEWTLbQ7HgQYHEriG35BKKEe+11j2LsQEPa6857HSWcXie+yFO62bmOw4NFIhQvXnOPLeNHP
/D3Wr1XDzvtUYsJYN0qx0lZZ/5ufyP0JXulgJLJNV8Chof3b+QFeiR/HM+ICWXLU6/tBOBfNI0nC
oNMC+LFMBgpje5bvvQZVO9XyDY/qaMuPVs2tae2oVzceXESf+r4hts5GjCfUjxAZohYNX6mh2OeT
+YiHxTxgtoMyQsPlNsiEvARdN7P3i2eopIoQBf/SLMbvZsZTYIyt/AQ5/+DuG2kWV0UL3SEzuQ5A
amZH5nBvLubKAycTJjAVOBXaChFu4XIFo32pM/LDJpazVeZY9Hprg7kOdXAwVaZ/7qx0wK+KRTSV
fbGLeJUHMYrjxx+1zTdFbTf0QjK7DEevdTION1idmVoXnn07kTeRmPhPWYD7yoDdDxly3XAaOWay
MM6OmlyauqH7gUPUL5L51Ma1aFiNXbGvRgflscVJ/Ovr0hB/gz6bCV2u41INYuo/wi7tUouzvqXV
IkJW5wDNguI7/hPbCX/lxNmtSNGKKFOigTlyyDS4I64ZzINNSD0qI8/oNhm+4ticjLZ6E4INRhwY
6zkfRIVwhgnCLvBt3OXJQ86xmRkDx7K849MYjfb23TYNRha+eknL2dPWW9nMlcn2XaJLHLmoCV5s
BjdDU+NSHGSzG0e8TmyyiVgL+1Fq6HRGfEmz1L73NfZgk8RFDe+xWOElc095Nb12iXbirFWeJyXe
sHnV97jl7ykLXNe9V91TrkQ4p9jVupXf2NNAtqd2JIcsZKXBYjI2CmjVNFe4kzrhwS62CJvzFkmn
V7j3Fl0XnYRDN1Ml2VlQd21qKlkXOmOCauvfh3F563mEnm1NRwMpSmdpAQZyoEHUJN+2nos1AZsJ
Ud28FRs60KeNokFqlWDAsCwsTJJM+Ao3mlpa1eTeREoMRBBHWEQDHmPBsOQN9x3ugPlA3BTxvom+
Uo/irdKm6C/cI5v54eyLynqznQzjXpL1m1zNrpKwxktmudVt7gPAyQOanbqQx/8M3xxbqb+qZCiw
alePrd5IUpHwNhw/PmHzenQlVP2BMqnfoIjcv0Ek2haPShdSoi3553toHFsz9I8RRKJDKGjhqjZa
aXVLCxYl8qsWPT/2SMItDPfaqGkXliJ9KCfNPfAAHJdJhZukcnUURS7g1Dcj6CL63nJgtztg30B5
1Ys+i8o95t8azn7TEmJYNr03vuG634aGLu448ENJL8Y18oy1DVh5SU9m3jGimwPHIPUXVepB3hyG
b9j/4iuMOQSA1m2OmbYjDOTvrYErQ88wv3c9KfIuX/TJUFFwKw7I/9o5hT1+IXCC5WpsN0mg559t
s6ZVg5bS0u/K28YNkbNCpztF865L6xhRkx9Gmqqe28Krz9LGsG84PELKKMA0a5l3rJm8X4gZVqi0
16EidSWRI7Z1r2HWSUqCzlHusUF2kpcxfJ38cF2n3fhmG9j38MKTCmzqeOX7Hs5COV3/rBfjQfXr
Z87fPnKkbqDdcHwxsBN//wEDuWRSLgTdDeVIbMyE7Y5n1uMBQ3dMO0O2BuW8ViT0eyc8Rl2qXUZV
mvhLfXtN0WvF4i6dTT0W+7SDRo5GKG/BLNMUZuJQoxKSiG+KUGKCvkReOyb9uxgkZ4pWb39DwZQ/
LYPSsl0HdK5pGtJyxYxC/cvCzlFm6DKKdliyCMDQC35meEtQq3hBu/aARcbEuyn9o6i4jqgG4Gab
FD4Flfpvo6mFV6nwmDlasvaSTB2F5xQXwtZXVxN7NX86Hfi9tSbTT4FBmG1sJtxAQ9lvcfnh1hlA
WNf5a9eYnwXkzVwY445GbgyQrfNCV1+3z12eLcOsqGAFvTM7Wucz6W4Z0BcwCyb5EOJAqBiWLfNm
MHdUcZxoIMiuttciDbnuHm1wWBcq7de/vg7Mn4hjkoGZNTd48OZJNqXfv3WNreMAcxnUSAqboqoH
OCLdvWfTv9Z4uQ4Zl4HjqEKM4tTwrbQ8Sy/Yve4os1yYPZjGIkkemlGmN2lgIQvaCIZ4bcHdWWij
JMsy8ktvRmiRQGqsp7an/YdDD1QGI9yGVmsx5yefkAq/OpvDS8cq+ZtnmfHzs0zyCBM8zyxpO/bH
s+4vV0fE8D1XTCJwqaML9b06x0q+BtoElaoDW2KJgxbQJ9Np8uzL6AoQUvUPVju8JRqfT2Z442/2
bX+Dw+UlsQuVEhCtcH5sTglpyevNjtzFYIZP9dg9hbjj6SOheTIB1EYdYbkI+jk44PUQRqCpLV0P
nWJIGdMQB/oNv9P8eQPCVWCYTAvoQACK+wNtm8gfvZ9JilZuUIDBC1bLwsr7pwBOU/KS+6AkNZ9R
AT9Nu5xi9AYXyqWKedEJKISd5odfUgWTunGTra1xlNXm0mgaIK4cuPdTQlhbsMRXWRqvA/hSS5Qg
GLka9gv4QFEe6asuB65pD9Cehc9+z6UZXObXRtTXj4ujH/v7X1/7f9N4xk9tw2h1HanPCOrvr31c
P7hj0grRyHfedAcJd7T7yzAB3YwScMnjJM+Wjwgl0WQhJZTvnknTzsf9rRUe4ZeKZav22nbdEWXU
4rVs2Xb/+lUKk1fxPTqZi9dxOCAxOjIN8QMTUNWVHXgdgPpUdo/M2rdshfGgzmNpnzle4CRo4tHF
K7lMc+HqOD6HhyCNn4y5cwvw9FYrOtjgMfaTPrGI4vecWVrnGheOs03BG+7Bqr6woB1+/cr/5ip3
uOkcYZnzk1l+VKb95cYjIjZ5pc1VPk5TsHeiCfNbFHpbRcZmaTMkuGShPLtThm5NZxy3hLWmJ5re
tuJghrX5m6vc+Pkq5/VQjzxXlTl86D+eliKGq6gksF69GuIfK/gm6S0izegS08dMJ6SArddwUg81
c+pevEUO9TUfUOePXjBvotTHIcI7k6J/827Ni9T3n7PDyxM6WoqwdGH/wAw2NKsn32nRPdX7xinE
741SWy1p3Xr1oahvYcEA8coqunxTr9i3G7MKHkddPvz6dci/eR0zyNeFQA9xmx3g93eFPeoxBysW
U7OtXv0J4ttChf3N2NezM9vLt0Lhw2X5ylZRF8Yb24rBVVUwm/sJ1kWkG+ZayeauNxxgKETgt6UP
vWsqEe0TjmWTJr0tmZ92EVCSs9WZsLHhcab8OLCkwizgDG1Wsl4pqWfrtuqfNYK9G0rlzG2dmqfS
DaAVKofQRaamzZR53j7PrPtOJNcPX4jRBzd5whTCNd1yqfktJs68fHB9qcO7dpp17CvkM18SYdZI
AWeKQEXnEzz99TtpzO/UD5+oS6eEaTuuLnAM/kCR1VtJ3y7zak4Veb53n3yH0Q4VvrVy6j3GpWJl
1UR1qTXWe91awom8ZSLCPFeF/tHHBPObG+AD9fzDCwIG7wELB8TOlfbjDVBEttvrnGKHuONQDim1
QLGevBZs1RyHdUSCfzxIsG7p82KejMWuS+uMEJ7JKRLx4A1w/F0Z2V+DKu/3nN2CKwHLda1ZyTGu
U3vlcC6jAiwFo8o8DM/6UO8Szb6teZaC5ToYzSh28M+IAsDxwdxwl8vevY4kmcHdaifT5eE/apB8
IsqSl+TCPlmIjysL0+k1s11raYou2JJGyFY46cfVrz8z7+ern89KeKZwIAD/DKqPI0BN+MOY9+TS
2WuT5R8bw4iOujTUuMhKnhksxPMxJLufRpsGoN5iDRvaPWb9mjDsYO9NoggKW3CQKw8CF6PjaiLt
axLp9MQnt0sZYDDHXzWj+w0sP2zl1P1s5q440OmlX3UCnAuYEfqqTvBFYmA6d4kTnz2siSQg5/N4
NIiznjriDKQsrK3mPDjqSEVktgsTdG9cJ4jf+ojL0QV/GNWZuOtsvmM8mzKaeHqagNGDA8PRjSHz
KxTebSvaWwa89iaojZVpjSXtTyN4SKOxl2HTvCYNI3VaRRqbBGFJjdTREM1TCYWnZBLHOUNbxEtC
kQezskucMOVKuMHTBCL9UAGMJxtNWWJEZt2zk2gTh3LYpuwugSoI4t4+HPuj7BmUC7falSQjDyJ5
CabPzJFYuwrAZl7u6ac//+WZv/nY/+Y45Op0w9q0vfLcsz4ein9ZqgqLKWop+mDZBXd6iDvczb+a
BWJsZ5CQAfUGkFY7TvQ915jF93GUn6JijA5oRYRkUG6jdjwy+0e5LSDBDvewx/E0C/9KHGBrEjDY
f5QNuNlMvBMKtiKF17++dn+mVkvXkBD0WXLZz5B1+v7JHcM1Sirps4sLvWKL9tLt61RtnUHk52in
T+7B8d27dtTWUPWGG68D7NwLNnLyHESw2nmZ3iohSLMcpuKVBtPslMful1+/yp/3mmiW3F2W4Blk
zpW437/KkkU4xpAXLfkxbhuzdnfBXA0JMOWkBTBAfAqlTsLNtwDjm00TInTnhjk/J6ElWnp9nSck
RQdpIqUtYGMw1WVqkOxaKJc3PvUgQUQnIzYx2uimkGdN/9rn1gPEom4TtXW4Gqz2vkIhr012ILbZ
wLlQ3LmKLKo1Zc1FF/2WJ4v7m7YT46dTKj+469B4pHPwlhAHv//BbTVaMTuTWdqECMkgr9hO5bwM
xqPJvIqhwhTiJHRSi3Fr7+HzlJhBfvPue/Oi890a4EhQ/XQkW4Yt6Dz64eAPJEzv7aAn31knSO0B
soRP1o7zmv44p/fIeZ/qtD05Q60/N930BF+EPOYwvMNIfIKD6L1mTvhlEKW9nZlSnGcrlLWeW3tP
trZaNJMAxoSXEwxCtgSODhNdY9w8ae1TJIpP9gRJzrEoyerRCCx6qCCZAVsrSXgCUMQFOo85lXdk
ykNEyKfnMe6Ba+bdtx7HypoBL7tHnEq5BeZq8EzGja26IQ+3UHYMC6WPgPQP62oc+73pg2dpySRO
wMdWsqKXSXqAr4wKh43Aj4btwF7CXnxMo9cxIDluAThbJjEcmsaznt2QmqSE/+3rMzGSB2ozYbuS
hfZp/hALupgWLdPoBWnKks024McRgOIEFCtB86Z65y5gWLqwmXH0k37BrkY8IiR9AfIQspvc1YqV
rzUwAhCO8AuduTeiHD7FR53k4MgPsM4iynjbLCQG51MPkNveuus0tQJ+PJf3fiLoH69VzXk79PqX
VlLyhKaGO7X01npkP8A2JCAH1ziai0qVypaJGoNNM8+ug6A8EeM+OSq6ywyECxVQhEsZwot04d3M
Ojqz5QYuOxnZhtmny3SjdYktE4Crl+50cBLokvYQ64jkgFlF9rkU+u1sH0lE6wKrJk3nW87ApdCB
cNTswyTy27h2R0zO/U5O9ie9Rl0NuvLSOxQZ1/mTpVevkcZqN/ScC0yYFkHbR0sh+b4CZg0h9fIi
YNFO+D4UajOs5nzJzvFeDQZJUUEcfTBuqiwbyDGH2QbfxdA6vLX2uKUNpNxA4iG0y95ssOBfdrIi
LtHiSuxpx4FOApe6yMJ6S5wAdgC6LROVxr0U8aOsy2ybtVREYbRbZw25fPao5Aq8YrrjEDTduRb0
uTGN4wOHLZLA4UOODLArSzKJpab7x0rweQ7lVG5IGRV0fFP+7viCxSNKtlPQeUeoatqNEHAIrb7Y
l7aXnQN/ys5dfI1L4Ry46PVjU5jgTg2TqaydcHk2Aw6ePMJqlIYJHmMpxF4aIrjxQi77xCpfYoP9
Qs/JftXK5fwY9RjJsMzbfKqYTdKCgGFpzUlHtl4zWIqhZg8SKvYuJeaJS9g594Ui8eKPNpCBOTuk
JzYG81RdPItYTEQEbJ2bVn6MAuvBNPrwIsLsWzdm7t5NGUMGTX5pqC3Ebxcu5ShukjYst7FmgyKW
Yb41DCJAEQjQPdC4mUUI0MBju2f7qMw5+SLc5ecx1Tm5YcTfYMS3167ZfQVaScgsZ3+NuC8oznzv
so5oV2shoFnKdjcukRojZ3pBc7zdLcQwdsccXCe8TeAaLfNyI8JAhIp4p1yMOUNon4SY0ULkDpd2
Jt76VppnELuPWp+6hzxKCTYGgOSz0Kr3JI2bctgL3PxcCozQmm5sdi7K+YKYWEA5cv422DXlQORT
IYJib8omP7rNa7zmfmQaJ5t5rGxtnPYWGkqWfVOtGe2jVCuXrt/cxibuA/JH2BHs6QHwY33MybyD
Ehu617jYOKTsUr8bb0vfBl4QS7BYaRMfo74ZF0lbDVfdDdYNMaF7kLBtHadnVodH+kTUraqmuwkC
N0/EZq8VEyotSJWZscg76PrZOerKV6ZobAwima4cPbivm/htKgpaS8w3czaDB7YFwyMsV3ls84H1
MUjQqKaRqDNSLFGYHj8qUMpkOJclE7qEprUBf//aUS6VF1Xx3FSGutJIcBxrLt/cDuNVPOBTZOaV
L9shT/ZRQVKBnC5HY03ivSpYVnT4u9tppL+ws+EvwZsIn8ELrh2JyKAPprdTJU7RrgRvntvxc25n
5lqrHK5oyKlRTDqJ03C4zgXuTq0nA5xXbvZQzV2Ws7Hw1+vvvMb/tPqaFjtMDxWCMvvv9wB94460
YXcxyAKgvYoyUo6kaQ8BpTZ2QHqudsQW6ON7/vd3ZZ3q3//k11+KcsRVHzY//PLfD0XGP/+c/87/
/Znv/8a/z9GXulDFt+aXf2r7Xtx8yt7Vj3/ou6/Md//Pq1t9aj5994t13kTNeG3f6/EOmHnafLyK
4L2Y/+T/9zf/6/3jqzyM5fu//vhStHkzf7UgKvI//vNb+6//+sOYBb///uvX/89vzj/Av/7YN5/S
6P3nv/H+STX8ZfcfPAc4Dcw6iG5hD/njv/r3+Xfsf9hzqZpnmwz8LbZRbGDzom7Cf/1hOf/Q2dHq
Dre5KRlK0Cujinb+LVP+w3KRdjxb/1DaPeuP/31lt39eIH9+ZLwT//n1X+tXf5QudYPvDm+WPb7O
SZ6N5ffXUSGzamqQHBZTYUKfl6+jKHy2HP1AEn4ip5pnp9oxHyzgwDmsxxKo8SK1QUC3bGr0nvhT
f19z7Jv64F1VWMX+8lb+P16g0OkxtFxmMbqH8m7/dBbpyRHokYkPxO4o3sBft3Po8tthF0kP/IdY
FkKj5hBU+rrz1SEs4i8qT9t7PC7jvoiSilROGGBOgNeQWZO/pBBR7ItSffv1K5XzLffXW5I+XccT
kKUo5eCz+7FBNdXnT1DiRp1Ig70WgfM6heNwhsejQJq07T4O6utYQgksKOl5nqgxPip4Rri/3XSD
GCV20KCj9YTRkY8lv8o03Vn9RNN3W45vddDvRPnqq0FcmbOqu8YsHwLQ+EejdXkQzHnUbeONnyuT
FCwgZ8wLoSDZw2GZ4Zn6H8LOY0luZMmiXwQzqAAQ29RaVRVZxQ2MElqLAPD1c5B8M/O6ada9gVWS
zSYzE4jwcL/33O7qNe86KZmvQxXDh9WTM7Ap7+h3jraprCCjGU8hRsEg1hEb4FwKFYdmcH9prdfd
fkuWco/KVbMn9aLFRF9V6YQHW9b3tou7f+tjzue3v32ezMtptPLkmH+eQifNLI1WUZSUpXZVXcyI
ICmh1BXaQKCbC/zDl8gc/X075sYpqsXrSIWxiw1chX7sjHdmDO///B3/0Ykm15U0J6aYjk07jkfn
r49LldQY5fJxpjTaw03V2nDKp+lTOUztRbW6BuhoFaST8+iT8tdUJe7yOZTNCv0zMaz6v/Th/hAi
EXXJ4iSZOiDeMf4YujF2aDos3c1iaHGFu20YnjHMMTU10CrrbfHRDvZ0s6ALIxfGZ7co7azdRkOO
f86vyg/T642jlcTGIUvEvkAj4Ckl3+24QNPRFd/90naO7aCDKwNXA3gHByNBHuG+gzG2NkhgWKiy
SY+ElET/1vT883FCWcUwloeKHY7w4L9+1HlFkkA16N2iwQNle0AySgP/Hink3wokG4MFHSkHlPDm
+V9tpSVHZaKOyC34sVlB1/efv/m/77dA5bELMWNDI2WyHP2t2SBH36FIoV/dyyz38ecba5Nn9Dai
JbjZRnyTQ2D/28DxjyO26bIFzCd9ngBynNgF/nscjY03jlls0HMW+ZtG0/tc0Ktf5r2NehBA0sS3
aLd7DEI+tM28f+kmmOGZiU4iSt9FisY5NaR7r2zjHfKAvw8NYL7P5uc/fzrm/C/572eVRgxtYMe0
2JtsF9bQX/+lQJ85WtqC44rAQ5hEBLYNhnWmCv9ocuyAQAu0Zlup0nqDTrsaAuk/HNWSL9t1H5rO
WD1vbHXsMAFht+K/RxRNjpTHE9Vk1oEOVHHRSXT1+m5giW8OdSuT61AOn+SgNxeRocdCOFx8xlgx
/NtT9vc7kVkODxcSB7ZHxzD+/tBTWZeyHbB0y7ogyMhPLuN8STzMeJw+Knqcx+fFNcry6Druf14+
fy1oWw78Eud+ndb62azzgxVUs3VzVoJDEkjgVgjr/vtS+ukWekX0L2+BadnfvyDeAUNr0xbs9HPd
8dcvKAJggfSff0pKt2avme5W0TK7wQjQjm0EeRJR2qufmflLoxXBySOWFE5S+VMfM/M+/95QRsUL
xaZ2LFzgWIEVaWsFRpt+AfleUAJWJEyEL0nh/OxGMz65HKlXoeFPm6zGbB/13r0TqPalVrz7ssh3
mhN/Ub5qXjEhbZmaHf1UH94kKrRNfKoHj8B0d5Q7m+4dxxwOWL7UxaFy3fwl862LD9dk14A23Vim
YusXSbILOe0/N98ESvEqS85a5hcnJpe8PZvowb7LrddMEChPxn2KL6unmXEuMjydz2Wa8e0Apjtj
UGUo+CSN6g/ol9hcy6Ijdy8s99VQi5dm9F49LScAVKdjIytpfdb1ak1zPSILpmgfLPzTNfbL/UDv
bEc2qlyxmBWXstOLi0s0hJ1g2R16HJ7ziWMdxEw3YjHg/FVhcA6gEsy4KlRH/OV75qL+oo3ImDad
vYbg+lyaD4mW8tzprOkRQI4NnQaEbzi0957jhOuOYdoFMRtsHhqCm35+fob5IiDpQAZtXlvTBQPm
O/ppDDKnQVamlYcWwxcufHtcTq1POMxovmuO5cMiDTUglQ66OJtZsSlqeX1eQPDIteZTkw1VDm1M
4kYuc/0ndeUhF/Cfgi+F2Rb3TOreMXN8Zo5JhQPRN91lX3n5J7Purk2HqMszWcRMYVrnENcB60W7
wjD6s+it6qPzZgjnRGO3oD0R64V2DEoCpNDvcTvSZkryrri38UejZPbamKpb/14jhZHB+Ijc+p6P
brUTWCBozNCX8CrjPaAnx0Stnu6t3dp85ZAgieU2Dy2ogb3bm2rjtpDptTH9Ued2fWcIKMs8BQ3M
jZ4WdnaVWr3zfWtvTlX/gb4vQuDeaotAb6ojDs+S1NLxW1lYzo8sh6WWEJg2Pwie8IJHE+zCokiO
jZ6CKOEWbo0SqNWzlrPdCAlu4IoNUA1Qjb3xFgccVM2B0JjC8bI1WvhNGPi3ia8wWbDiqkNS+AJ1
FIWRh3Bw3ZBT11Y4AhwGQidXt9tNbnP2NWuv3kkPUyb1NgvzXIY+/2iF6vmuMTbbETfj7KvYdY4E
hX2KZB+fulI4eNN9Z1vQ0gvCGo6u1vbbYVZr0JsNDlMlurUl52zcyv0oCSw5OtTZqE8QyXIZQwu6
YB07p4BudNPa4uX5d+ut45wys6+4h9toqxEatYgKmhidBTjTT4af9DHLj8QLnCUmKTqIRNa9sS2S
WiEaB8k1fwpkqDjGVuEclGx/RqanVn5A0l2kADkWGFYXXoGn4Vn0WCb8sGZymfRCbsgMNW3R+yTn
yR3GJU3qcmM7qC8McDO70ED62tfhobW67DXprexliND6BXKB2VAcn+8g6DpY+N2mzj11zrSeVhNq
qFuXgCKYxJwkjBYaGAe9ZMvsvseTi/Ghrxss/FF4LnExdTkAYLqZtCfsRC6DIEX9aY/NujQShs7h
3XLLaFvk2begEPZn0BYfZC7t7aYeb10TJyfwCoAGUUOGDVF+VTGpA72ni/T1FFt3DrCUSQ1gAD1+
BC3lcyeLXYMwemdlg3+Urex2/vcgZeZYQoq+Tk528MtKP5I6+iXuARAPqBNXPYKPKyF90UbpZEgN
g7dxAxWeYNZZCzUIcGGBwZRk/omkTfWJ5MJ3I9pDEZnOT/KJTWgUXah5hwdM6+xI8TDWoZvDzZyy
/tUNJCQwK3kr9ah/8PR9uGIcN5XZEmNH8Mkmds1qQ+wl1tiZI0dwi3+s5wuUlBH6ACRxxvFkWXDQ
X5guG5M1fIuwwxFKo9kv4UBiUG9LqDQ8K1FFLKdV0vBrnzVKAshvws3E6Q5LSy5gX6ZdsizjQZ6t
KJyjJPJoa7Tl1kxKOA9R8otAu/LA3KVdGJERXXQCaxl8tQ98Fp90art9ECvzECQoUxoahw+7wr6q
Oqtmhg+AvWEpb2vASqLMmR7l5T7sUM75ZR2+GNqMbRgOTVL0r7iFnQ2JtZMQR5mRSRjaFhpXiPed
uvhFd6uRQJwQz4db2BC4UaxpIFYm3NpPp0kIk/r0PDRKBgh44XTE3666NSlUoNhoLiRvQfMmsneH
U3on6y75SDLtohw24NjCesqxZ1tq1kXofX0P2VFXtOIKstRGebLFcdQNH+iUJLLH772NLJU4+mqA
QWcQQykzOW7iAw9Ed4tEPt4mar+Np884NlhtjgEPoxIYt8qogf/t+YfAba1HyVEPo5bRr8e4UNuO
UUrXlruQEYBAcHd6XpQlBsSOxIcVBK1vJzMbdpbEhmxYJUETcXHEqEtah56i2Cf7e52JWp0PeRyS
UzNfhI7wyXOHYZ4ANg8RSHdTtLsohhLDkK/xe+uNRj9BJpZPaC18HHZ8Y5vYjAR6Ej/eUNdNAIgu
cQ7SyCjkFZJWf+Uf6G4aeOMvRhhdIVbteprnRmHKb4riaenNH1EDBmHtuFNyCiuZEFc9J6eD9quC
LHmIzgbWqYcvQs3JHwRR7At4MAC5iXcpveysBD3HhB391asYGmV1ClGUeE3sUhZGwNCJ4Qma+0GM
vKq8+gRE4Tv8o+zSwk2arM5+aXDHrEo11vdJC96q3G2WpcyMR9m6ap1kRrLD45+s/Lyzm83o1nAO
q4EqT2DMtJJijlWuEUILYxl3bbtVQ6MdGsGfKAH88PYikNWssswA/O7IMIzUQQETu+iyhx/pr7Jq
s2vtlwbosGZebeLgnkUW90FsvXmJMpjmPYbBSe640V7w0GWr54GmT5k7mEHAeUOV6ob1NFtSxUwr
7Mvxuhuq6VNmmFDeOexeDb+ffvQY2BaFe6C2oeANSBrJ8jJfFfNbt/LgMc49GywhbAOeT/lTORcP
afrTPGuEfYQLPwx2gojRm2ldgwIePJ2yi+M07HcCfHzpt9EKdurSoOlDYICvNhzYgb3QxnzQHNd4
/lS0je3p3Ysr5gy4aMxacjf1RRvTc65tjtHTCmo20POER9foHfNtSodm3WbR2zB079YgH57K89dm
3o0a8K4F5IZGjo9aD4NjFHlqgSUpWwhglPsOAca/nCPMP0bPyOZMuMroE12B0tP86zECyUVSWvir
WO6iA0IAkwnW0D44qIb474YvVjNUgLPBDKL4RqmLeYKCsbk+L8Gs+hB2cG+6+tvzA8cWZx2qEi6x
ibQ9Tqd/6df8cSx1XLxCukuX02TV/ntLzlSVnhKZN4fspOMyxSB3NqfI3xGL15xRqF+Ia8IH76G+
L+xxuP3zqfhPHYUUtGk9rjBO3D90gl7phgzg/HaRlK23VGUUYv4P+iU5y/WyhNC1s0Mg6W7hBUcS
CZqL220qD1cjAz1ZyFPvGgwFPVCTaMfNVTjnY+su+dg+vtjtP/9jETHPHZX/PsTjHJpDozlFSFTw
3t+/XNOG9mMbLbm/cGriJYqLYTUpuz61Caxa7bkG9HU3bTVjHI+OIZYOoZL7dk6/OTeD6L5Bf6k+
TeSrIPZXmCqzzL6ocNBPyn3XYxsGLw6urwyA1oRIEjEynYa+7qtVDpyLSEk0Q2NG7nGmR3tKB4TM
HkTr58vU7P/zG3ajjA1DvU9dNQWHpDOyPZww82R3lYbUPLOvbsYiEBHVQVWWVQvU7q+ILT28jmH+
qpDa7sjH0FC1kdVguWdjvrDtETPp4qaXDhU83IPqMhayv5kZkF1F5OaLk4XIOLufvkjmbp7C+5Na
1d0aYWvQwt1MWltA/f3fS5TFNNKxxm37eQmw5ARxsZNau5e06vK9TbLyd6nw5Q64RiwIXnsf7cSy
wdz1VsFlchN81EGfu8vnyVpontzpI1LcZIqIYjOGoxXVyf55VwNGXUZBJ++kTfY732kAxbid8VoY
HgHb/ngzwoIwmV5VH1Lp5rLuWWWYYH3NCLW+PC+aFTbnSFMLpYMCRElmbv//46HK/+ohz9gh2uIQ
CTa8Kly1z0Yg/SDVvzDjd/YI3F1S2salFeJGaMvmVYbAImzkXN8FbIqFa/rFvejFcDQZBZOjQEZ9
QUty91zqqNqphIYz8OroWLbWz7HsptsYxt8TVYJmsM30SjRr+Ltspl64cBKiVo6GT4S3hsyCAbr2
sXefBt25QNi5ozwa1kqWcEvnfcp36/rg1rBbrBPaOe1L07v22k0Tf2WPsKH9qn11Y1d+ykX0Lgav
3OsFh2eOfOwzEpWFGftEkcSYdurBPYfK5b4BGLnQefT3GsaRXSxJMHx+XemPQDqETs2rH/bKcaOH
kB4b8l6JZinVuZl7DUWHfCIsdPtFMo5f6LVMLl4HwH4+STg+vjdbAxjaQQ2xQt18ywXu8in2uz2l
1rdhaJNDOCvxJp3sOplP28LWiP/ou+ROdTKN7H9ab46fS0zlMi6qNXKV4cIPS6Ih5jRVGM5CQgWc
C3JCEkGzI0w8hYqcbsZSaEiK1I2uT7VflPYY/TP3bEnnp3RS9Vl3on1OPPvvs3aCavel9Jz3KRro
14fGr7S29JMT1PSb9Gyn6ehJF7nu6tt2kOqITwp/1fwThwBtNzWRv2TfC5aBnnnHfgwJnI3i5CIR
dnUGdANTmxrkk/24EWBdXmzTJcQ6IRhqVdTiPkaD9Vm09RtIhXGnK2DgQvOhyPjaZ33w31GXvMyE
nS+1sI7krUdvWGiMQxQJgTxS31WUoq/kU1BpxXZ09Rs9v2mkT8qmfpvojv/UOf73OenOC7AAsLIj
76fhaEuz9M8mYNQbcT3yVatXklRifaqbaY0SrdsoLaauDRvMCUUcwpjQvZ2Ic3s1TnL/tMM3DGXW
+CbEGl882ZyWNA6OhFWceLZaKg/62NIZwQ64oCmIn482SdI7VEZgD5q4yteMhCag58jO0q636BHv
nl2qDL0Lygct2NkIFw5F6zpbYUcQJuZnOK03+KbhEq75HsZ37EqAXBz1KYbSBHVRDTq2xuSGQseB
uk250bmVsUOdZHM8mR+2ZLzJSQw3XZPtVkr/qEXx13KoW+Kt8+Y05eJRJ2m3bRL0Mh1JuZA0JhM3
UIPGYt1USKfbuirODc/Y+fkT7MZzZdvG4akDsYbKvBAsELB/LKckkOt2zMJbhyTqlg4TZZeZcSCY
X0YW+RhlgT/KSEhxTtDDbkPVvsKTpMmgIT0KSMdYMSLsV7Unw1064twaS4aBiU5cR+22r4Ulvo3V
zJwl4u6uN6inhVat9RbqZEu+y77OmYYWDa0pPSR1nvO4AAOl5zK+RF3HYK5O3gtMCmdaHhE1IRGW
oHWNTy15UHZUfjZDAL0J8fM19JxLmEXuauBg+gq4iQlX/BYnbvb6vHjQyYLKBY3Whmcy5XpcXYRX
kgZJSW3Kz5ahpftRkeCycCwbsjfCatMOou3T5ZmQZtFVdB0IR6/QaUT+qosi4yS8XluhGtNXENmg
7/saq6GJoqGWBE8B0qCZow3NvUuhgbKR55tntzIoXsxGK882dnZlheMjH4P4EEJBIW7WO6RFwMph
EyuokZXxMMbPtU8Ia61BZDU9mpZODOwvAiKbQ39ae0BSF0k0+IQSTenVCLWV0RDQBw6aAE2n4FH3
gAI7E5ZAlGL+sqyL5OFqBgHaQQVEh4MRZMlRu/QBWVW4SKdljNv4kqKmO+HR85YJgjEsYtPXxiJu
kVjkj9pBtjM53q+hEMk6EDqAIVqBxKMVzg/DtIho0txurVtt8cocQ18kZz0so3c24Zz0LDs8NHkS
vyP23dhx9pIBCTkm87c1BM9p7+gvdTQxq84Os1ulYHfGFrl26MRIIcmqD5DVPGXVoyqgMCLZ83gm
WnHokxwwOttDl8Hdi2Ly8mKyCkbN8N6SEn9TnmhEmoPWACJOP8wkZWVjzZxwNY9c7UT/ZaZRdWgH
dZAE/13YldqrR1OukgFIb7P7FOd8NO2cOYSjwrxmgiBLfWBtQdAC2FOlIloP8C1wYOEbjOb6sgLJ
RJcYdrCtJEnQQpEOY4Yv/fMJVtQzCxrm0WzyrLcEeUzn5090IHkEa3zFYdgenSixPw8Z+Y4dEUgu
HtENZi15DifHb7Hyw6oGAG/d6HNuSRUn6smQzkVOE96kwLyMMnk35x49RRnJbnn42cr9O4QpB2TH
jC6M7Pgezd+Aq5EmGSA/6lWrwYmHRvC8zJlEqGeM2/NVS+Qua37zXulkTBUGITVqjFsH7wa0nFEB
Qvz9GqfndIXb+KVQ0BaQzn5mM/CRCuotAVIVGgi71670c7Xr86eq8rXVkIeKg2dNPtWUYD4gB+FF
Id3CmQxdB/CSeBnTCRaz0t6LHgZw1kaav8AFOZ6dATxEFC31+d2aM4QokOHvvZ7nKD0hxSO0FWc4
oj+P+/t/j1LPHdkZUZ3hJp8PgM/yAFTPuiF7/WGkDWb/MaXpWtwU0s9TMkvIXd93b0b10uVutCPH
kSHDvLrUBrY6twmzA2j2aUfiVYtmleG/6XfZb8RDrpxsS5om4kZvPRqF/7MlRYcEZiJ3R218uMUE
uk8LNr+HCS3GhSkdUVEiHl9RkuorGyLCzsgNf2k16KWCOhJ3mIPiPpgpIbODtPfkkMt90pcAFTNz
kRV+uB2iqtqRVGZf7IwU5jSWa0UO88rutORstYLo6ikGKNk393ZwxVI4VKS6m4sXC++X7nusYhOa
szwev6COrk/PS5hbx7jtmnUyWSE5d4GzbUBO9NKt7srGeuwEwj73nw2jKD8ZGICqNldXTA5bx+rC
F5V14Q6wW8zuM0mkldK7VhIuAf7MJUq/6DflWczbbGJDnkcXAqLzSS6cL2ZZ1DvLHA9OOo2HbrgU
TVBRD00ligq/lRx7Uga8nVnWq+iNWV97EB5KX4fcdLKO29xe1/zewszFxXa1cde1tn5Cja6f+tZt
T+EvLNfdEfRGf3QqzaM1JL51TOaOtSHsY9bB/Dcz/Y6gbhdoDzMa5RZYzKEyaEk9L01sfhXKK1kt
TXhDBTkKzzvueQNaGW0nKF3xPnRmZFLBzcQEP1wbjSCUp2MPLTVRPTIvMnduX4m1BYE6itvxMhnR
eHn+5JVo5qib1qICevlcDJ4XA+T7Gk9WsTLc/ivRptVZdb269A1Rc3AOEdyTsDFXGW4yx8e6yTWt
HUSLiU+MYPTj9xwKexiJUXN1Qj8wWyfQkFdNW0g0y+64ScySNKHa6VAIA1OHD6TWcRP0r/Q2wmNn
wkvS869oSWygp4TLdOg8llYbGSsV68HR9OJ4S3w0K3g+vFstqcepU05XKG7EyVqZYqTDb0YjRKE+
5GDm1+4c81H2n33N0EE8Tebh+ZKWMOBiUJNpiXMK0dLw4Ks8xpNpfYYwou0jnJerp4ct6O3uWKWY
0cN0fO3h2u5UaEFXw4v8CS3OqdVR/8VpTv2xrAxGf4t6xjUmQfjTUTFJVNL9IntaCW1kxUcZIdid
99FjK+JhUc39tv+8pIf0fImg1t1ZVbKtLOpdO+rcDzkTtjLgtJchzfv7pPpvfuvM4uWy2cRmkt/K
Ogs3srMtJKC89CzrJbJFea50GuNjx2HYoB5+7eOAu4qwdMgfOfMWKwzX2dxYNOPoCElh4ogpw5ey
svNtQqJ3H3dzpvtoP4Y0sx9G5r5r45Cfnr/UTAGkC2ZbRA9khA/N76UWqjqmefWfl4UnKubW2nqU
8G7tSHAMtlv6t5PGpHqiw4tNkpgkWX7wDjib0UcvaJaAYQKl7Letc2dzhRTFqyibklfyBEgEW6DC
b7ehnGhwpWVzDfLou6RzQ7uJG7Qp/e6gJvMyjRMML9P5EWfO2mmjnxqM1YfjDc0yqxqfOOP6MJJz
9FLp8a7BGkps0s8xwcw4PYu8CHHyUlJ2sC62xtbUWReeC3cwsf3kDFagSLGzP7fMCHIJOE+GGpZo
mXJPvTgN8SuVFst1F4HOS6tyjcbA3mFFGt8HIoJGUdYXFQSvYsiCM5JhGFp6rX1kDgmjI6EE16Ie
aw7yhMM2MUfWQnGqiAhhW6cjO0arm9E7nodrSp7azlDo0yno5MlAf7aUxHF/dWCKVVk+vnVNB9c+
BK3Tm5g95kKmmy9U3rh4ez7XBp9W6Y0zHYO1FqMep1aBW6FrofhkNCv+72LVHgWi8VV0rcYG7vLl
WUwAINW81WmnToMEBjaISLs7Lv9TyLpoZJnFBpRj7GybCHjhx0R/ahU6rjrobeO8Yr1apC5GRG6t
kLj0HF3/VP6ywvpVj53mxYQF7CA1h2hbhveosvs5U9dCjhhZtyoaHvUEBgqQd/L7CUjnx6AJuups
I5HqrGDbVlZ/nhzHujlhhk6cYSvza6wNY5jtcaI47+SdknhT7X/vpRESx8Qfi3OnOAotmhF8p2k1
39vBA1HXAYDFbE9zQjOwmPjB52ieJBCmnJyG0PPWRVFVpBukxikbjWBfWf77wDF5URPTeYNlUWyU
315b4HMX0j3OCEKY1pdOtUKUeMd02m5draqPotI4Xs4NVNIFgtXIogx9joFjGzv+EV9VuKKEsiBE
0wNyOy0mfRyt0ZSX494lUQ+ZX76oxCB/njF/wJHv64rIFdc96frVVWZMymJP7o3Rv1J764+wLnaw
Zk0QCyzMo+trS4WrZ2cxAEGippOkSLFaNrm787F90nxUIMuijPB0zlp8XvB1yAdDQShv3IpEe2dj
cvzdqdAbL7mrefUZ2I/2xTiXkYJbTda7WhE7PsbZMcjck22P1Zmju383AyO/WUotcvr2dC3Q7zyF
HpaLFNUvW9x5GIBnQMvXNI72RZfm96iLy2Vu929jUna4W9nRtY5pMrrxJd1A+5Ymwy7rquQc99K6
WSZZEP00XBh2vuedp46AQNFu+bl7z02E/8Jvdg4JF4QN8Ou9Q+MBAc7++V89fykek4kJrMOO0xDz
BECQ0+9g2I9WXgNfipfGFtgd0upSW2z5TG4hFszChmf9FDl8ngZq+6R0OkYTufWmdOotoODa8veh
3QXSqlHaX2xgnJd5WSTzW7JMuSRsTNmof8ZQ+DHF5I8LI6kvIujIdJpqaJLMd9YTw/j1s9vaxWgx
/OLs8pgtDfi9Gx+1WDPrOIeqGk4i547r9XgkawgSNA3afqWIOM1SqtKnpCDs23AXq5g8davejyNu
uDa0/H1FvwuALY0X0abUiU70fbS1+OHnmndCunlrGWIdhrpS51oxTqILjCOc9PTUIIukSafVU0DU
luX1ORvSdMIqlGEXzH4ohhEJjhed0TC7URYcKHsQijjdndPRrzAhccBnyLU1zfL7lBjGNQjTbzUe
gYVbGuE3Ox/vRcDemIQ65NwJ7KPvopNJEI3mKc+HIWq2k4gWL507HDZVOGpnutq+Q+Pla9HB7M0Z
KCyzHqq3GOmZi2+9M4pNnBgPW0V09sLoULXO1StHwh7KbOOPfr+TMqT9M/sWPH3Ydj0z9DyY4pVX
hO8MixIJaBw6Gbh23r6lxygxknpDB/8mLb5KevAOq3aJudEsYHhmnO7xFJZiPWlTtJYSDZLNTuHD
XXrpR+JmSg0phTDLfDtlJclJPnFyVrYdRJIiBonoSIWYXmYU4ybXUg5p0dewJLSDqfy9dmrglokL
07l3CT7QESYXoflBSdr3HPcHgWMFfwpCAe/h7VucU2tIu+/MMzY2OvIdbkGITz4ISM6pjOplu9I5
ujtSWxFREOCahJBYUVMOijj62moPPhZKGNTxoUlreop5+sMoqa+m5K3WaQ5bNIDXnm9CUTW+h4oc
tsk0d4J0DW7Kyl8nZZMwCunWnfJWlV4OIK9J85jaN1vZ7/iVv0TDMtPIvEtn67YXGLQP+++N/zOX
w92Puu+BpYggafOKwySwMMPIDkFzdXS/2PhgLekAy3zfTrMOw9fkhgP0z1BTJClDQhnDXV1XB/ok
+SWLvEWavrdq8DfEudL3ijDNNcRL0WRFSE7g269Es8ujBCGwomlPSzvhGFPrw9HRHhN5EYveQPOU
VySYK+URRT1HPTSSZHlMZQEZo90DsW53dkNOgnqCJWCoGbKQoB2x1Wf+sRF4hplVqIVbRW9zn/3k
ZEm56pgSBLSBPMs55mQ9LywPFH8J1nkDpRamFdzkRaembGtyn6URQdEVpNG2Z5XRlSm36M0NKyEE
on4MXiaJtQ3vfWTX20H/Xtje91yrx1VmUSv1YRGtE+qwaerd1ez/c/WalDYXsbg1rHNot0cD1TQ3
UN2QoaLV2td4ZkRk0FEy3/1akKYLjynDAEZ8HpGQAHib8YdsHLFGlQawZQ6fHHr6VWETt6sYopHv
BgQwRvo8p/PcgzPsJoH3tJXhogYEtw/c4S1N83Y3OFSxBVuD6/P2EdnkJmypif5dkKmTNhlk76Tj
T5/w4jGl34jGZBmYguamRuwEFF4E/2zG8GjUOd8H2pDiYsrDDbdNAfWiJ4dVdHsvnKfqGXrHHjmf
GwYlwIxIrsiXCRcww+WG7tcLip/0JON8S7BFRenEZMZETkVUJJTjGdtkUMqsWjQCjsAsm5TnxFSr
sc0ZxI9Nsq9ywdIJ/s6otJexLE9KYjWrmgPuT06ZlSgXGBgeLW+YgScrg1mR3Uw/cqfZ3VUvZHew
MmjxNk10lMkxVommhQImCOnxfhRGgGVMG1iDdLJIp4pPTDn2uDHoTE26+CG8sNmgLmsIbtdqViqL
FqPTW0vdSeK1plW7xHdfqADhIOjl98JxEmy9dXMwnfpmdJ/8OQMsTHyxaLX0kjjyi6erWWoU3brM
gJ6Wg98MyTAajfQ2XQpD2kDHA+JvK3qvU/ZDVt6M3n7koFAxfYfZrlOge7sZeHe2mq6CayuWqeOC
gQirfTZYSPcyTuS9raN5ILiSjvGLhiIOrk78aWxa8mwCO93XDnHKNSOOdVe7n1EOuFfBdz5V/hH7
YHLiG4fvX8a/yqHHFudEHgXPsKEqk3vpoYaOq74ibGGLxDbe2qQmLcrBKo5W556cxHoJoe0vbSO/
iBIohhOTwiYFIuW2i6yVFXYWLoFvNH3OExDJjRs6KAuCLjjqlBhsDOVOw2gGZ5YaFIDyNh/nXHf5
CEMadro6jJEO1S5NqgXNzytrlr61+YJMczLIr1Q/ILiRK5Q3CXg482fKUHoVJ9C+Cy0/m0Jv9zSl
8WSHRrsJCrzGBNs567b65rtlMZ996OJ1yHQL5q4L2xuJzRglKQ4hAxuOphlzkTwDyai2ekqXq2Aa
BNkaFW3pEvln9o258AGPLqQBw6Sy627t+4okF68K6PXRjQ3Ala7csr2kLQ8B4GuW0mLjrbqJ6YGj
4VBl6cvXowI1lULSKYN4V3u5S86YYB6drMeo6EnFyMh48nVvmUWRc0YEWAW/tAYwLplhKFZYkFaV
MuuNVTIPD6HbZCn5MJV08PK/zymFZIMaW3ZAqOpA3V6iuv1Avnh1LeddiOCTELK8Si/DR8SNQ728
ApBm7p3hrmvhh87gd8Es8JuliWjZBJSvtkj2YeCIe9x/7VmsViRefc0MMssycOfh/xB1XsuNI1ES
/SJEwBXMK0GCXr7lXhCSWg3vCkDBfP0ecHZjXzrazkgkWCZv5kk8nBAI1U81mqCsrYk9llA6W8Ly
ksbIGRm0A/q6n8p50LjiganIonQzUoRHw2dE65+EySK7VxdytUX3SzZF9wsYgq1TMFO2HfgMgDGh
XOhNus1gCO8y+6+lOGBwRo62ydKfDYumGwvyY8BGUmyAEif7IdZ+8Y7jeI2Mu9pLK4pK7yTX4ANm
rmJTxa9822eQSFNIsxMdmIiiqHbDwhVurKAAFG1qbpHt4IsaHw4f0dAk02JiJ2VB0j+AHkuMsJMg
G6YG3lrGCJiq4WxaSRm0Lfvb3KGExFN/LMk8BX2WfWt1ku+gwF8oR/0a4HhegX7xCvny1ObdpVQs
qB0kNHv5EimHOM9xJZf1H8+Vbzz5z0z3ix1gYxznUYJbZ9TtB1n0WzPlnEZp/IZiZ9y2c/85csLa
e9wk0SXZRhc9sBTNkjWpX8dTKoga2pX6uKx2jOKtTUU72iaJSuMuW3y8qC1EzRhRSKt2kyUejHw8
WzOcTUjkdcgxNTBn76sz+13SeVtL7/8mfcJTzS1GkyUrsf+MbdgN+ghr5NQ4NqS29GJQ3cBJPIfu
myfMW4cBuktX9IHXUR2rZRz3hdeg59cLRdpTftEqhpR9xhAbZJZRAPzzZvevkvWHPk5qB6z/ABiU
BkEdU+7oDeZhRFnEmdlfsMBHMyJf5Dtv/cBGbs/luPX8gRj7SC90q70J9WrahIh9S38cRWFQds6X
4vA8uBwKkpozBG7QVzIzDi7RtUe0xQ9L/Ix7Kgi9cMqTd4MNN83q0zxz1rKxkHN63wEyeiL22wMJ
1hnVY9xrIo0nUpOoqnrR3GnzMe0MqhTqAut9xLrI2S9JV3qLWbNl9t5lIWZ3SBmZrh8Em928TG2e
8c5/hETPfleYe6bEn6smVETjTwNsOcJfOynaiGIuilz9IMN0I2dxXcMK2FIPgp+tvcI39rnsFDk8
v+yHLjuHxjvNwL/pUaisO1vmXbTUOQlVS1NMCdQdI4k0pEMRZsGKRzJoIOLGREPGSM0vzt+vqOoE
YgaLqZhbTkZ056aVfJRm/FpUTns0tR9A9pratooeYL0DU0kp7dZ1bALa6q1pZbZHBufoVQCn7TCd
Yzmgp7OVzzO9eWEKkTmVbN+2n0BWttaHxXNOzrieqAs6pzkDazbg6ZFCCZqpuNbzTs1BqbeEDOj0
trP+Za6Uvjdcgs4W4JaCEvrNxOOAA+IgYbHvBSYzcEZWyLAtPzo9/PT0by9m99Aa7t5ulbFNTIXJ
auGzZOS6c2j7/ogjd9jOGUtBvTik+YxdnfqckLKzooUGjjIfe4Kk7MF33RTjWM5E6PcmXBDy89ve
Ns9MEhA+aXMoBUKUpP9uqPLiMOH2WqL+r574T3rtzGFBBeg2lytVpH0naIEQZrkd1CwAAf68txYM
8m7WnTwNdrHh07eHGJHjs9rMpeyfe8FialWWCEqr/yz8SnuamKHB2j457ndVdv6H7mJi6tMSaL3o
ubv0tLqUUmAHjl3oF5JciENK0kVTSxm/xFFEJaOIKL5NYdhF2L43UzUBNq30fJ9rZ6fPolNuAWiu
NOxaAlW878nlOMvOipwe3jRtaJ4OhLagfN2cKxRmLEqgHPYjbzFcP39XSS8JnbVyHF/gCcBhsfEI
kgfkEh8gCKb37eicUp/O9mKsS/pSDp2a3uLEzjd+mahdycqakCjblc305XegNNrMl/vU/+WglezL
yX1A8t/0hWJsUs9AfNOSLJFnPHQsynuPSTriMIXGQp14uakfcsdADNGjN9VvKeGsLWE6QS0LFQds
HF400iThLRiE2q0H04H2b+tv46FdzOC3A0ZewYSFCXEtQ09MOKgTxN2IWHahAt2+WyRgOMJ2infl
mOf6qyzSgyR8ucmq3Ap6h3yGap6GCGghJhTYjBQdGHmQ2iMl17ijt30uP63E97YMRO/hIHl7o63a
k23g3kC+h3B1NBWZgLZ7qzDChlxUcNhkCH4EFXbdTO/z3FOrGQ2B6rmoDl65ciqiHb7I6SsR295A
wZG7jpJVBhz1EUhlEkyjccc7uBzU3OJT8P8ITn5HacHlc6NvtxuODXHLHRNjsfbkZbTnmIx8qANl
LdYEbih+CQ6wAiyClNHUf5Vl2VsU8Dg0h705VuZeOubWBCkS1MvEZR9yMDmHGen32nXxuS3nfqdr
dvXQzpeWotagsxNum30es6QR0ACxbF3o9Kh2lmx+KfF7rPtcsT4wPHGrD7x92b5Jl4+atYXXjFrW
zAE5vL5tZseeEcc8svJJE3RBpFzn2ApZA219RvpM9uRtue9DntqZZR5arn0Yhrq69opy0zVlHaSl
cZ4XWC3xGf+hd3AGbQ5q11u20kiKoJskOvZXbhoN6z/SLAtEj2ri3KULzJK+qcZzvKgw08fnCBgx
XUjzq7WIGfzdo6Eln7NrPQKDXhAhkxxSWwZwfOE1Sq0S/JFtBgKjyd708Hy19k9uivGx0Zw/2Pus
s7aoZ12+pzaGdBfDFQNPLB5SMUKHmEstL1b7NGGLpdEYk5ba2GubNeZMwZJgM7Cf76ZBK+9EpaOI
0uQ+GBm1KTXV4L4N4D3L3qRM7B0n32RPtSpluthCQmlzEMSsfiBnf1dMyYhpmduvG1MdPd3iF6nY
GyZv5VBQ4DaSIi/17gFPHIavsgYdZuanKFHuzgfGyEx7+gTY9uzzlVNrjtNJWd1RAsPaJO+UmELz
PtSwhFKTuUD/opO+uMN3fWBamWLvA/rXYMEQdm+FlaETTMMz2kJDGhqLNIl2pmJ3CvBdPdWo0bt2
/F6wxFLtV4Lmq6pz1w6HcRiWe5PUufAFZ2FbPjH+gfTsUezdwNhWEro/5uI/qaQskR7OfjcZgKCI
4211o2RjAUzIuRbXQ2tGW1Tz57kvrXPRf9EmQmec3BhVJMMlmo70VaK+VX4LPSS6WxLd2DYiPjkD
1ebA/7Y6fPBTSntLwZl2M2btRzN0r7YswrlYW5vKtYqtk/duXGscD+Yja2qz79LhPVKJcag1aiBN
9Eo0Zmtjxdgs1WhjmzO13SKG9HlwnbWUiBi5ryf0WxKN+RigZZwGW/2IIvsdCotPjD9wYZgGcLH4
+tPuxa9qQb2uXeyolfstRvMJmZe2F9ucuEu59+DUvx1VDmHZxn2wL4DTo3O007YnXy7jZAlaIKk4
ITJ1EkP+p85QhOg0ard0FuOikRplpsvARwBblU6tYQNB6uy284G+AfqwC1Mc+sp/yJKVfIVs5bhq
ontbiF029RQjuviSRIZzwR7dfSIsKhw5E9r2sFz1cjgAK7c2g48WHq2lNlxAGffoA53ijVvDbwcN
pzKEnrYZ9lIt9dHszXdsdaDWFiDGhvWTqpTa4PQZXijTomx6xd73t7GhnbcCz5KNTkLvOPdX84kg
6bVxDbzoS0mzRb9g/5z9+W6WL1l7RycB40ScLHTK8x6J1ESltjDaW+P3tHR3PZO1TT5is+81jn8V
ptrWZfNUxA42TjEfeoa7G2n0jxH2CI7P3lZkkLgRhZtK6Gfdrb5MWVzcprAx8RrXQYl/XVLkuB7y
e2dofURNGkxQ42CDRRvie8h1TOJIr3xO5aXtcCFyp1SS+23SIXy5XDpWIjZqUBQivfX7eGGiKSAa
Cre4juqlqdZ621EDxhgxXxOlSDdsCR9UtyVXUWL4MAZa7jU+n2Qtis24a7zMYuHAQDZI7Xe2zFeV
aGbI/ftgOECbvIYBr2FykwDlFWCvuXKHjDAS84zwWH8mkTzEBZ/8Eqd5DQAaca9tteGUNaswS6Xv
jDbk9cVFN+avQW/00+BVX4gxOsEW1OLKmIk3VXdY6v6sRNZDTbGpadVk54bpW4mK2p8WH6/shteh
0pyLl+0tPoYZ+bodveQe6vFy9rvexHeSvKE0mrA4iI5FKVkQiTy/h2nwL5kBxzOGbY0pP0c6boQh
dxveR+3s6q160wp50Bs7CkZNVTvHTvm4lPSkCvMJn5UWaEP8NeqjfTAruHEN+2tQETFiuqcjaEO7
awv9MaeVKuxyGon8ufhMSSGZpGbgHaI+WfS1RzAiMmpsgrYyHuhAKjBlVsNutrqr1if3YGV/aFrA
oeFxivQEHsFy/jtGuiTcwxY6M9J6S9w+u4dUzzAmNqW5j4QP1HPKxiAn57UdhAolZFhLKkXZMN4x
nCrPBcUVoTZab8BZZiJd48S2Eww5t1wuOogkw/gmte5DKyp6EBfgZPOMBDgW5XOs8TFVxnStDABY
5BAX0Ye2MvHyOdbfDjx0MAh4+xGuIWml20n6RGosM6esFoVO+ZxOMVs4W0OWw05WFak0PX1TVnqe
80LR6ply4KM1ijVuVbtzlT54qb1JXBxJPdPxcyTFXe8OOq/aQCFhK3M0nzZhVA8Y3oMQESx19JVk
kQoI65oII1QCTovzNNaZFpa2Szixqe+6zFie6NZ5kKW+5YHPHnNvfO5ddLhhfp3V0Dw3DkG0efgg
yVBf8JS+OnLbT0Z0naroWsrpOa7xFjlt9Mx4g4uf+ZVO6O/5ij1WX7B/0acio7oM78rQucybPONJ
ym2gj/Vd583Txk27/FKrFi+nommeiBzbK7dd1uv5t41gYpmZdRlwZ4tJfoKvRzvv+ItlRtBdGdHf
Sqbdecx4pXyoNTuK3Di+6lVxMYoo/+8HXuJNz8hnF88RcNgy/qm9bD3zJX+tyi/2dpp0WJ38ULM9
aksNzshVywxSrtc5RpmjkIel6Xjn83KfW9z5sQLC/fmWFt49KdjkDYygkf5AcKkKKhrVsuF3QgTY
jLFuXLthZjN1E7HBbPw9WepfSpFNbM2YTqu/c9xhDBgRPgvbec98Lty50dIix/VBFdYnzdAe+f3o
aLSMmUQVoyqiwzYzp8A829daZ+w9PTX5NMEVwLKxS0ebFlXMFvbiZjtsrQNsQ+dFKhMXtMd1PKac
SNGiuolVFlrDRMOZNeqHpuAotRhQF3AFbJYRCZEP6Wizz+Gn0bZatwG4v3bN5N4hxy5Eabm966T1
2zNtAFvzPXG13Cx6R4+tUdwPaKSMKxRnfJjpqtGRujADceWiogalCpV+YsOQlth4k3jB7v5qWfGr
rbGoZe0bCJgl0Ew1bOi/+xPR6BukGlVeFuD4be0ZXO6b4eTq2S9g1eJU1tUXN7tXb3HTI5ZZtcHL
8dT5XruXCNmpTk+mNXnokzbCkPqabUVsghVdFNOfccajZP4mov/La25s3Qw5PEvj9rPBy2xSJcll
q5Pbuun2/pSJxwLwoAZaLx0IUy3NnpESYBbwbzu+0E/hMrywhP/ms1xJ2tyKGouWqf3LJjw4fXMi
uTOwDqwjBaeTR9S3D69BZBYm9+IBgKOaePB0LmE6amAiBjt0Hc5ILJUFKei8ta+W4FhgF05B5K/o
Q+64n9Hck6PvKZ6Jpx3uQCQQQSg7omphw/EO8ECceSHzX3YaQpLdSEsqEyTYbUDmKhUxTNTsC3R9
Xlo6nLdpl2xtD5FEzdys/MR+XnxFE5YxvQ1eku7ivD6hpxV0IWDiADPXb1wn7CAqXiXDrTNSz5ZS
unRnGAZOuW6v62NzJanMdGzYUp6Zb90CB1nbLTJQBmuNSIo/qUI5IU56wmyxcfSC2dtUEaEUBLIi
Wt25xAc6511zGritZvTz+crDM0CvYUAs46hJnvquZkOizmRh6ktjFAYil4rm+s6wkAo4E01BbybX
nJzPzlLfpuXbq4OOsuncyLcxLFSsjjM3ISN5ah1zz2Q3ClVLcqHnyJjq0EYzr9vbdSmC3ATx14u3
JhmBDeDztiyMzboyjsw9yE0sCZVAznMlKTEWXnEk9wsVIYB80AYgFX4HPPH+CBi/O/q6Wx6N0nk2
E7r7qDlFVOXw0UUASBgWNN8tV/w5fe91Oe5ajzIpredBjFlO6Gku9srDzqGN1BbxosNyZAPwuaZH
Bv7+CMRnJNDnXY9z6VCjrI+LUQBlqmcuXxw+S/rHe/z36yRNbXLmcgGxT2SBPuG/SHc4zh/rEWUE
p50Tc3Ee3krsk7WI8idZF4dR9MNOkxEnn8Y7TggAXOR9jmqEhVnS8v1QfDYLT2UWmR+xsMqTv2qD
q4ziyJlkx9iuRRyexYSU+FVj6gh69dXHGbXBgmptPTffcNltty456S2v+9GrtHRrNyoNkqW8qE6Y
AZPwzSAhq8CE5UpcorShAyZTXoDSjNmQav5LrstrQIBEsN6JJ22o/vqSPdab7tY61i0cHjY6nC1p
tjgcn6efMqKqzS+HJrBrpvmd/YbxAs+mO+RXxBvQOlbNh6xsa7DZ3OB6dPLRoTjWF9VPZi1r+lk/
qhFkq42ndUh58711aoRDoLriI9+2FLTyt/MK1U6PAR0goWuleBz89G1c/ck2sTJTqwnB7XFHPfqx
DWKxsJhkF8vVyb1LN2lBrYv67AhtDUy3/woqV0B+Q4hJ3KWkV27ZlHGFJOxrXzEgmH1L+HTj+9St
dyXSs0qXs4ijJ90EXWAQ6J5malCt0U1Rg6IVJWFwgGgiyDA+hwjdPTHXrDc4xzfUhIIFnkm4J2ho
MvYwMy+VvXHL78mh856iU6SuTO8AKKWbUovQNYmclFjd9zNnYME5eS2CI2sJ4LZXpncZoobZhctT
JOQLBpyz4cTOdlmIUQOEcA81EWqeG+9En3HHrY6inqx+bNrEoduHo3bcm5+OWaCHPnmDpoUccUTI
KreRCkLQAFSbloYlXC1w3uz9YT+GT8tRQFot/fauL88LK4JF7xIFt2I6piBt1Tz/cpUrNovDU8vt
RNO6CZT7fC4rw9m1at7ZkjuIUgJ6EHtwTyrqNCvjzu+aFnZv9WK1ztWyvOVOjqVLcmDMAzTIYwlH
fpdqcxlwMKHeFN0j7q2nIWkn7B0iD3EG9IFw4TxRSYnDcOdApz2RXeSjMOXRzhung63Gb30oMWLS
2oyHyblHcuS8iWawLSdju2OevVyoHqa/q7RCjsF4J3o+505mHZY/RaV/jiSCnqM1IjLl34lflPcE
w+9k/kPr8QNShbo0DhISHENCUlNBxAZRB/PNqYaNFrbCtdHMk/dM0us6Vx8jyBAsthQOEGFC3zCd
fwzUBIJHcm+LKdo7vRVvfUnfc+Zf86y8GlbU4ODUtS2+5seY4E+apfJsl2ilhW68qlEPvDlfkQvq
d0i7MsQaQlnvxDfVfSQiwpFi4adW8rPKmfR0rNGLwyOcFlzSfQhdMZ+lQ7u6Gp2FZmQbsXqgHcls
55eOzhXuEpxL8op7QNQUQUKIwSwFbhxqBpuaAFcMTBYWw/ISxQnwIpAT8HmSXl/b41AkaZs17Bh5
BsdeOOpFwA6Ucn2OSRAUv3bluwFOrk+trnuw7kYo6F7lQkzrmr/gLC8Kmx1/28CY3pHyknAQRyqY
whh7qpcwaKBTVN+LlMBA5J0YvIXFat6fGXT0yfho1Br5QN3COBL77smqnyS8JLff5y4mNLwXn35O
c663tDbZRX1bKZzpumWsTuDsknGi8hwrtKZ/RY7+aw7PegyovOVxnlrJpUq34sfc0dEf7gstm/dI
cRcd48vG8LWGfgYvCkt6NbxqRv1L6dWLnBNR5igkNEGLmFEdakOEZFKcg73EOwY09tYqdQQAa96J
de92hlJdPJ3b/uRouzqDwOaCYMRPOA5aOJcwuk0o+dtkcjc1l14mZ1g81DcMiDUg29PLMJNr4cC5
JwU3xiAHqTdIi/7M88bbo5YidE+upnfnVuivBjIj5I8Yiw+nQUV27EKS7dV3OBmxhIQ+NGxkDfRm
qerHqVfXUZrY2Tk+NIhQWIATqqoTfxtza8/MBhljuu8rgDLaGiJB0Ie4PbnaQVPGp1oCI30eEd9j
/vHalg4WqDSA8XBZ6ThlFZOm7mI0x9OkN08wMfeKJCkLnvTPU90/GEbP9dRqIEor94PjdIv75NLm
ZDYc2nwvDgina4u1dUMX153WDOIU2zbJbKe/NmTfQjd7MLUHQyTQMHR0NqvzDhZnp83SaLSpxJ5O
xA1Ykpga+OWz54eF0VUPtT5i1ZJJ/EDIV2ywZODy890d3cKQL2dOTQmuOKxJhXieeOCsaQFllJi4
N0Xc33et7O6rXLF3Fcw+UfD8lsw+lCjn7GqWhhCjcQHC3Gu1rnPwrDLe0Fqi9lyecFm6WDlLhv2I
Li83X6hRsXQZmWbvwcPhS0n8c4KTPohxiDPAR9K7/TVOh/kZF7C3ueW7V+1q5VH12chjuHQk6lKs
z3jV/mBPAtAD/qYjPIUoCCaQV5GTWZrtCFVlrM9+/FJLbz25qO+pygJb8/Y659xH9q3uEQ+2iciW
sF+WhgxuL4QlRiTXBSsg1lc4GhjWc2zNzjBdaT6lPr4xjhLH65+uIma3NDYFmJrDWJ2YZZxAN0iw
8v5Jxoz7wKI/KVU9+UNc3puaCm7/Z2pfSVnITl2iOvPYOXJimSqpXpT/hZuZg+dUd9DC+B3Ozek2
6cj4wvaTBvkfTs2MZ1rfepN1TA20MolcZ4Bsb++Yk9bTCejig5jG+XKzpNJWYAecEuPriAUCTqsV
h2Qdy81s9Ajf+HzvXaO174mzy200o/RvCEfjdDTwUyozMwOzFT/5DWBT2r394nBkXqVcTjqc5kkW
Ey5DLB2C/zzciBpgVsNbxvf2Q0UJRkwdwN4Y5MPCLOV5ooJrYugMo1s7QCU76nBmn2qGwAEsUmaY
GrFgp3JplyGKMxRYBHzLfRUTmcUYH5KlFXuXM45CYt/dmEHuTEH1WNM103jR/vbdKrFEewya/G/M
ifDhrLI/hDnlDjg9JtMb30hXBDEjlPQDsm7MmbQQlL6p6MB56reqOUMAbGQrq9W8jzXQpbEnssuo
ipexa0ZCrH5Hwo4gTu4S8uPDY7GBdYTmZPvCGvlhd7p+FBMmKmwg/ktXHeUasxuAi93wtyX0XrD/
ccQBCVQdIk2zaUp3xjydXw29m7Y24YezXbvge+YpCtKe9XHED6epWvydCoukG/ru4CQvc8muVBAU
3hpG9buAlj83a66RAA7ciGXO8Igm0xXw2j7pmvQOlyLu0wReobMU+dNoe+GcGdG5WNxn4xai7Mr2
vuJXncSVW0eV/ogPK3B1Ib+HCI0Yt0LyWBmThc2Kty5zGLdMab+8TxknvnJ8qBLV/JkrXtmmmeJr
Xr0jC4/XcQUKFmYVYYMdHqbR/dAtmxvMMDVlMPzHEOmM8tJE8/yQtRyz5RITuinnM3H37pGedofR
JuAdI3EGrHo1ztqijEO7wmzF0uOcy+Wvxu/vZtKSBHR5urBwPLuQALZJ4tevZl1TcarqB9PMa7h7
JRtSr9xzgwmdISk5VTx2jLHtxjtoWoxldp10m2syRo0jjPsKwGxErv5GHEoVdipw8VejyJQRlEkG
XIDdN6VBFYaSyWQhSFWpUdOuf6E2lac5sSb4us2fG4DOnVP7yKjEvpNRu7B3uQ+aqFgHLKM4z50M
IurEaD1OsD92GWVFcjSQTJWOGv4hh4n7YzZ8FCuCYcSZuEnnfAyLAlAVObhT7oK9rH2/CG0DYFZs
JzKwYz87CSrQqRPRsgeLefGagb69qFgTdk2TLXyDLpZPcg03BJtMYBxY6M1BzQfw4M2jOuDELbkm
r05Bu5wvHVpVsuYr4ugsDMulToOwLui2JIws0s6jq5m7W2nW7S2Jko7Aeo4qz98jG8Lg9k7TEj+k
JZyfZVtjcpprRVI8HGTEJHkeT7UtqDpfWUYc7PxNNY7Vk5ZJN6w6fHn//69jXf8Gd+DeS2p5ABuK
4lBYyRdW82NO7D2darm3USF3U22AywOWdsdvhNTCnW84r3bFcVYpgk1ZHVNdvNZJHwL4bT6kjcO+
uO2YZYkzol/WdSN5nipTbnwoOLcFkUBld09UJnS6AusAdTortpNLcu2hWRHwHKd4e8Mn1uWuLZV+
uW22dWr/iCFRkDyy8dKvPww6GShoZcYh6+4ZjVzYpNf1/f9+KL0P16QrvBnrpxEtgfMSf2Q70U8z
2sXp9qvFyioO7+MQDgduBPO7FXmStHWPHaHhIRCzbT1pVbdr6dj+rHrOuJgJrWtcl+kFDwN/oBA0
BKY1zj2vPb03vTfN78I8Oyrxj5U7RAFVq9l7MbiMah2Nm4V0DESJlcJbqB8VedZH6rYXpb9PbZT+
QrTBx2EgUf9HDepqUR+T6DfWE8IWDgkAAMavmgZjDSvKBxqvcltSNe0Uh0aOC8DGanhjyPQYBDYG
yrrltMPFXHknYjZe87K0rjJ9vS20tzpjTL/vVP3pAWuKfz81EV9EFT9kXUPNOBgLyil3ykrY9Me2
umIqe4TZp1EwEfPNGZ19pxnR50gE5EQAMqIsKF52N3SCiseHaQ25ZRk9W7fyuGr2n2YgdXdza6R/
hpQyEdfNAN5pNMtZax5OsKP3U8tRfWHh7oWWnT3c5td6yhu0N1L9SwfcSqNGDUiYgaPWBSvbF3La
j9mYP3YNi3Fno+jO7HTHbBZPU8dRgbIiCABxvOJVij0WEWhlERJB2qr7VBKV1wz8Bmt8Z6n0838b
fuvR+YJvmX6e+V3r+VImSycVbYT/vTnkpSgeMnivgxzIRFG5pLZrzDTV8CdDdMTlNmnnKSGxgve3
u8T2Ii9pfr2tJxQQTwctc20SK75OvQdzoZIPyuEGsFtmfzmiU3BxGBgxunmbfoMzeHRZsS4toUF4
5NI76nre7sbRhY5C7HwX13K6tsW/2wmnZF/j+gr3yRx7N8wLIz//t7/XuTs/1F7zqmzho9+yGiU2
wUAMH+3OyoynBjrxnWdm9lPG7HVxGlCtuj1zLI1NxJrh6PiSaU1vRWQZZhftcY6OPJSSCs+oCFIC
JluGxydavvv7PqqZi6/7ErMk7/G/LwFToYbfRzUHa60fnzEHrmY7sC5d05y0bGXO4nI9OYn9Gmlg
nI2UuSPegPgA5e6lwWl/8OlWOrDFIjwBM+K1XP8RKNoHyLorhLJ+dDSCaGUeYSxh+SdHjJdKlj82
NIK+G+qXGIQ0FkAHDcjhVxzgA41k/Es1crfSMpuYW9NdMqdq70m9cWfg48BaMr+T8aaVdv2eXFJV
g9K4rBF3D1ELjEtTO9vR1OXlxo0ZRPO/SJ/qtgFaZqZv7DEuAxqxUE864kqmaFH2GtC9if3TMRLg
Y7VTa4gwZyJk9Zb9qOIGbEEpjth87rIiaYIbRsZQmf0QU4pSRTj98Lr/AyjCp4OfjCLZk5oGUyHF
/e1LMRDZm70it8ayGmm7ZCCYi5yE+6zT548hYXZbdt09KRzx7I9/IB3slyJLvqggUkFuG+iTqeOH
uc48BX7N/gaAHVRahkNuPdx6FdwVy2iQj2wJYG8WQns44f73ykJ8hr4nrJ0X153cY1b72P7XVV8k
nJXb2D0aOJHIUqageNZLVodDcCc6jpO3e1ujTDPALIFxfL2pYaaKdzSL1/sVrEn4If1Hty32jDgK
p5IjLR4/60AKGWf7CiZU0Wgf6SwjD+U62A/bftoph2G0unEHjKygU4yVAs9ZuutsOoS5t6OMrVlj
cAMMNNrpu9MxtVS5GQCVBhVcRVBO/vupRjIE/UVujboVr7SDj1s/S8UBh4N4VV7C3NWsPqvOzS8V
CCtWI7q6h8qxtga2rydBYImGyPZnssk+3XiWs8THos89tUi15z7PXe9vpfxH9QaRVLPgh8ZkTJjY
rHjmMDLEUXhpCfqFXmlnRy2KXgTEoXvJ2tOuDCzsqPxVhe5Sj7r/H6Wb14cjOmaQlKB35go7nDkh
YtfipDPSpfbf57XxXP1opHfa0mMxHSfjqYqoVBrz9rtpZ40xPFwOocM7k2w5t7XytmqyejbVYDIS
PoNRqwMuggD+Rw6CXo1wcPuqCiM5Y+qNt30jhoNwYSWNmuXDujIPuhH/U8jGYTGXDFdv5OPxghGl
PPjYefaz71zSpk9fyv7Cib557+2S8w89hi8AQdz/1h2bB2D9l/0a9UiXuAu92rcDPrZuKL2uOjVa
xcfJsZ4pd2WzhxvuJvKHVObF0JmVpwS578fI+0fozESIc/5VebQ8dI56W1J7CI0pQRqI7OilpslF
Jc5+wcgS4Iwe7uteO0xg9A7LxCSU2RFJzyK178yYC1mZRFi1B1By6wFe68G13haVWPfYLUS/5aO7
3MXmwiCRlWx0ebpVMu+rlkPV7BB6FgmKb1U5R4VB5mL702dMp8HZFYt3Zo3MIcAw8ypYY58b1rOo
XMaXzuSSSu3XK8tW9jcthke7LD28IfGJydq8bVD1D3NjyDuPx3aTS0ZnUz2429tuvw65kdnmy+1r
nvvnypuaB0O2aNMG54IbBdbSpuy49PrxtpmJNT4tbZ2PMVR3E4ztymi9/e7cxh/QdNU1Sf2RF8T1
dmksn2pjNHmXPf8kivHRLsxDu0bN28Z87EaNEICjTqm5IhGWC8iSYYf7tHyZo3kBFMEJquD6J9bA
O4Qji8miAgACcfHJGJqM9j9A3fVCM7JvwaUVupKP//8HeRGJA8R5ZMk2eYhWSWEuon/YxURI4PoH
edUK5ViLAu5rGl8FSd3ALT3vxJXyS2G3YTTO2qVZOSjvJsLtt54qkso7OSnYBfqXH60qeyYP18Ob
ib01LMZy0jnJthpgBXDenxGQlQwqvTgmU/c/zJ3Hkt1ItmX/pccPzxzuDjXpwdUqdDCCwQmMElpr
fH0v3Ch7lRmZlbQ260EPikZmJTOuAOBH7L02zP0u9W86D3lR5SblfRuwkpUcGu16LBu1wf35GW2l
ek2wbK8tVf2aESAcU7SBnFuBSycXbq642Mwz2P7C8j7OMdZIzsdgb5ExfFPmpMTxJCf/zjZvdOmH
yOXGnSjG6WBUIPAXVttdWGd3pT8HN6BJvF0XJkDo5wNeLGZANaNBOD8omZY0HWg74eJWoLEGdcVW
JYYxXVWf7GSKGcLhajfM+MQHA42iw8t6/UeT332yoNOsrcyEX+7QITde9KXq832apa8dK85bo7G+
JDZzwTLmuZ+bT2gDh09WDyCu6IiDf3+QMLK+zVqmwqKw7OckFjdRaOK5zK2YlJMhO/4XJawMhhEJ
pm0+uf5jOLJzurWtb7ML2GedILmrcJHtZVVz+Nwn/q3nfjKNT458qdVLQ3DpgOtf2isH571WiKqp
eaQyNjxvoeyuT7l5IAdKgVhp921+cNtN11R41r9MzUPTPSyD3v8SMswdRk0WlYW+Kyxc7kZ6MgWu
kFIHL2NgMfeYNxUV14iPMYI/ini7+gVlKJqjI8KaA8PuL8JbBLO1PlTNBGyzclehYswxAKGuVPNC
nAh70BDzIOL0e1DxT+g2yROtOHli+TSM3rdS2tu8gCs0F6WxJmv2vinbiwQkwgyfV6HjQ4pXNCh6
0HiOla3YXH5HofSJ7Aa+3YUX7ebWUREQjPpEo9dNhsewI85bcOTHfv1EUwn7iK0x7ujWK54bHBfg
yBL8Iy1Dl2lrYNVG7jz4Ca72EI4zpFTTZbNZKTZY87wKdGZuAxNRO8pNQwko7C5fH0Exh7z+TVyO
+guZl02sp03Ts1xCuaXzIYEF/Ynu27iokdCw2OoTm1KaSngs+rNy7P6M/OkRHapioRr0n0aIT+kM
ZmaB1F+SHFeGw1xmVTlkAPg0T+iZ2O1zj45Hr9Xe3jUsHIaIFk5MfX4MLH6eKLyIo+j9aBc2wnqr
HfA6bm2AoJ9xO4We/l0g1F/fIvxTm5Ru7VlSmu6HrLKBR/SYJS5f6NK/z6MW43oyiDbCbIzKoMjb
9bVnN5ymQnqJ1tgSfnz+X//Odrt/x+H+KTHtYyyVSeItpifbtfgxDiLePyOQQ9bYPH9Y5oY1yICO
5x77wppqfUGPvpObrrUQ5iu5MshW2/gKf7bFXjJ07erHjPcKkGD0u0Tev2RTLS/MtqkEtfIITLr+
/3+Inp69SRo5jzeUtRnksMy8FMv8BXdstVBSnwoz/d6Z7ASMPMIGW8fMqlDNL8oD1LUO5tB//qRs
bf0VKKxt7i4XHw7f2seY+CAscrvxeYyhw3RXRbG/klEJOJBTS4ju6A8wp7pmHzBffSNE9bvwnP6p
wYZ9RBqW71hoZ0ThokHiEGxlmp6MsME+6FF1zSPaUgvMBrMVk0jzfp2mVlcj0EYLNwvvJcxT6MBs
jwKjme+Bqf6MGpvEndF9upbqbcYs/xrCZn+5di7X6v59Pm4ZPJoYNmGhMe3bOEziw/XOuA564Cgu
8a7cHnMQfnuPN3onqEaMWPZRZNQPTuu98dk+pu3cYhv2B6JCzm7e8laiSD/jNL678kPY06YP0v0s
tu9VK/CYFnpCaT4HA/OCtB2G4zVjYjStb4xv2cEss8soT+6Lcm6O/pJl7pMEj81vJ5ZaTS6/FHJq
1uI9SqQP1REtprVyCIrYlmNLhFo9wneuGzxHXYRvE6Xh+F3nvxrltD8HKAsrsJYs370sOuPxa+96
rHQrm6YfzGJxnMgEfeVDJ+R6FSWifby+FTigLDV8ebIlzwvTIhIiCvG1RMoqz27rsU/r/V+p37Q7
1sTFMTc4GyC5VI8iFQTN9ZYNLdcBhqVNtphj/FaRavGzVeYary3LwQljnY5lsR3dIbupvfrRTqvp
q56YZ5Is4L36I8v0oM7G5wHhDVPHvH2YMNqNRJooAuS2Kqinz8HEA551SbITMzIvWvz8YcLPxeNa
TV9MN2cCT3KNmqtDmAjrqeH+lgyBAb53LB0Whn3nICErnOGiJq+90Y17VilMUCd47DJjvHfadFzm
V+07TbdtO73hloMfZRZrb5l5XumR0EffLxuWoTtz4a0sSWyXykZvIuwRTXTofUmKCKC++d0rzZLb
deG8FUNGSrQaTniJOHb58o6a0U2+lDnCnoajruPb3Grqh4hVYO0hvlKTpTfoxblUQrXzZEuFU7i1
xDNef68w7Hzq2TPc/s+f2gwD3cxADaqn592jOyDfox+dF7fpuDGky2japDBZfohYhKXxULRcqNND
0ohhO6TFTxvNCNyiKGCOqR6vffdAZsmJ3o/EAILKEDCyUK5FqhHkM4OSc76JWCrufdUjugjFcAyr
GWhsZ800hCgj3x+uM3OnrSOoHRUWo8kNEfYYwQV5NHVsOKTcgGyiuT9R61mzRR3o969WCe4j0fW9
H7M7HGL5I5PCfQrxDh7KVtOzB97+OgzOep/TyzN/VLH1TG6Lvg1ifhFF9AoVEDQNFoXJnMSjb/RA
rEzitBETB4hHyugyJ+kN+4Hxvh4ALCBigd9ustNxVducnbydQFg4sjlH/rJnTObTFdo3a+dfCGan
crpbdD7euggrl3fSrrB9u+drCesDklCldSm8oTsKQ9y0sZvdc+pkpNBhGTOBQe2YZQaw+ohG70Ta
PoZB068NG0nTrIeHsQuKm+svzULeDUg7QTqUyqOws+iJJOYss/uncYod8kVQz5kOrHkjQ/+mmK3u
WQD9yjoHozOl6NF0dxbZIazSCVZxZ+hW12MZuZE4DqO7t3tWecKIm9311WezwOdQZIfrn3L3NvG9
dbycmX5/JMTb3wN0Hl9cSbIxFqf3mfo8+EAaa7hVZFurU+8MKSBXorNc+zZVI/M9Q5i72oLocC3i
MwARbedSzS11DMZkFAAQhO7Dli0lHu39ey/gusbe49tmlY84TIlsD87jHF3xp6H7IKxYn2yNi632
2vhQTuhEDSIwocfMPLagReSqvkH2W2OCxOE/Eu+48SZ72lNegJPUya3GurhWgfUVkqr8FOOdvp1m
5+uMI+VcCwwKk4ydG8k9cqNM+CRSwNCYJugOKWvMs1VDQYxHZsKpXzJO10v+sZU06B3w7MuGrPUw
sRrAxN10SNMRhDWGfyQPjCm4ruPHvHBA27gpXeS1P88I44lSZdzHrZpxjlE/lQ7PtLnucACOY352
WcEn1sidULUYBzGbLvFu6kmY6gQCt9pXjpVjPVTnqSumL7kmamcaO4aYo9jihQc13Sdfmae4W3py
Y5+WyYs1+HLrJh5sQ2TL+ypAL5vPhjzTo4IoGoDFDrF5iGQlDw12XxLU5wvMnGQPZrXZBWXpPiga
4FVQDd8VUxXwSWa7hS2HvDpFW+YDV3iQJDjt+jSrLh4kkvftNZqWZOOx44L0nH43pho/czEyil1+
aAPfYoPbSly8svss7QGkhQXipY1V/9qLzziUbt9H8JgrXa6in+n4PPX9M8rV9qsRz7dIFvNyFmtR
5fX2SsRiiEEEq47y5q2dJoqRRbZRO83eyplpWKUginEe7bVC7frZ7tTjdIir0X+UhFmvywDQ42Gq
7Lvrq+p430zxkxUr/2RXB0Z9obgtzshbeMuD+O5ocsMbNXhn5o2bAu/+zu367txH4Cmdno2u3yEO
sevFckZ+N2fADAI1eEb/jYM0e9CT6vdExvVEjPuLKDXEd9cfOiuKvmXTgJ2/kQ/TtRFGdI3GaVlJ
yrRv91k1dOhh3vzEil6Fao4TWtttPpjm2dDMMgcCMfB+sLzMYt2fzALgkqiGrzOPQlgEeAYldqR0
PYOPayZ0aZXZPFzX1DoPj6kLvooF4EFcwYeKoOF1W4PVMr2KPL9B/0r75KaVM+c8gZeLGhLvDH6g
NSxD5DfLaLYBZnKMpKAF5XbI3mHiOBaJf6ES3jFYQVQaIPRAZsqGUzAWD7v8k0GxCt9pDO+m1K2x
rmmWyMuOfsYczOryMnBjLlZXXK72lGDb9V7HNOnfGPOFzHec8FkufDRVjJ8sQbwRGA+mOTgFHyp7
bxi/AlMgOs8pSInrdNg1qu40i2I4mG1Uvu+f4/QFjiN6iIVlCFASCG5u5qf2SkzPsmJTWVN4j5QB
JV296PN53h37hUabm+cBlMR6Xhb+WTHi7ehSYG/Lw6RbXhq59HvbTF8N3HqnzgJBEjIKqklxf5ZW
c7omQ2Tg/K5rD1Mx27RnG0AbwQmoJPsBOO+yDE+cQO0TUBI7LZK3RZywo0pjAVaD6rrCy8uOK0t0
1eXaTPwr3ftffdeHsPEPf/zf+/8QGf6nLPL/ZwHl/zHG/P/DhHKPJvU/B5RvfnZt8z1Mv+Y//hhr
vvylf2WUW/8tlOdiB15iyj2TYJjh5xJRbv23a1u2ZLTAdEKbxIT/T0S5xd8hAIh/32RwZ7kW2TtL
wPV7erl0LPJuFGotk79v/d9ElMsPsTSCaYbtmlrzumglLcVr+GMK7uz4WanaOVp3iCzZ1slw19sI
XZHX9Ruo0ugdFPrltJvKm9kjniZOkVHNSZ7fc88dFVLbKpaYxbyU7RU76wN5veSDGYy3hVfK7fWP
cPLRyNfDj4Rx+91c6XLTDna7NWZ1/MOH/zcTBLWEJL0PFpY0eWd5Qw5p5q7ArszIW38IUXIGPFRG
EEbrHOCGAfvqDOSDQ7/0FqjJZ1cWJHPiKD3T0IM0aX0EZkExXFDCkc3jxP3WxSUFIfByhWOKopju
/Kq5ILmiiEh9vS9NK9q0M5W/LEL3Qt/jXmwt3Ev1PSsPaLSLHXJuwgqjApKhzPYh9f9v0o+cv75N
UESkZUupTfCezjLO+cM8ouBi0fBdaHmWQ7cqK6NGpZH9QDAXL6Uth6RGfU34xznKlGZ6DdPvehR0
JLXctX16UZy4N+0YHswSp2yEv/wp6LJLTEfgltI8XNut2MnqjV3CTsFokGfH9woKpQDknvrYuTBy
RSTCb0sFq4+29IO7PrOMw7WZ9yYsZFUhfpYIht+AmSKEK/v8sMg6oOXntw1CWtgB/eChQENze+gc
EHK9bPtzk+bMLOvkgNTB2uiOrGxYQBELqCD43PTEGaXY/HbXP475lGIDSa1b4tjdMx0sPqC5W0tV
GsdE2a9dJEiAkWBZjtyOYGUinu9taqyvy7N/591FZvOb5KePKeJcj4qoT0spj+GRJ66jxT98Ua1u
yqa0Y0h+qs12hLYkoCOhHJFVmh5cg2qAdQznubypbQdmURzPZ+gMODHZwB3CafwK+tNZcd0SHzB1
wc7t6Y+EX6mbvrFv2EFRsC/XQLSgHFjNEhsju2hLCEexcqHnnJ1EzTsnddPNP99qchkJ/vlWU1zX
WjIZszQd4IdbrSRpZ6aUxN4nFGlbKihBFdrZLTw1fx9W5D86Y+3sR4wOPsSPycXOk43MnpV9MpqW
0oyOYQ1TtmJf5hWbUXKz2C4ucNRQt2IgSWiUDQg9Y3o/8Dirgp/F3zwlzL956Q5DTlsKvhrbVR8S
m3tRpBWLSrKHvWxjYNY79poCYSgKEE8DPWG7hMVYuIvcqVy67GBdgotY/+YT/DDDWy4Ohwe89qSm
1MdA8Oe7uBmHse3A6KyHuvL2wFUArk2ouc1B09cEMLg9mV3C5XeTyEFe5eVrGJWwVlgAe9ZDCF7o
VLjaIzOE30Hv9N9/F9hOt0EY7K56o2NyXkfVpgdxT59GImuWt/Xv3srffaJMSHlLlu15Si1v9Q/X
eZPbziRJVF13Rjlt2wWPj8eDfbyJHpU/QH7nnyy/mwsUuvhCJjTDXCP//uWaGzqR8gRJhp3/9axI
6f6NoT7niAxX+GN/8xz9uwuBO55zz3Q0r9v6cCGUXatwXODncnoaKSNo0Ceg+O7jEf0M1l4iMuMf
WU12QuYjybb1L2EkvzmzzA+z9+UyoDqQy4Oca0B/fJgjgO6wO1U4VkqftrEKvltuYm5kblur61jK
C3CSweMIidGK7p2Qgew/X4nm8j7/fC9jw7eUpEbhKaX/ckNMEVmDCZ1cwqT3DBpQbYwmLTCogJ9M
hX92i+YbVpqEHbtBGiLLq16xi61QaIxRibCPrZ9t+WtZBf35vcPIPCxkv3mdf/2oNNNy5LMO03gy
1z+sKXLVSFeWI94VuASbK++4NuV8QovDNUJlXDm9t9FMBRGEPNWFGZ7++RVcP4k/f1JcJ/xoOFeC
Eu3jA524nISFuyT1pT5ghomeRtQ3oRYvCUTGNzvOSeWshmpVdM0nAq3k1p4Y6FgWGUMuawOnSXKk
33Ox8pcmuXUZ3mslAaH6I/YOnrJ40SzoXK39KJoazAWbqSNtRLuzrJ1NbOvnBYoM0bwct9cDPaOj
2RhJ8SoZoTDcnJlT03usopGAyOtjGJta85v9w8f4Ra5Zx+RUsz1UdibV1odHV4sWjTUL6LsB6/K6
+Zp3GHBxfhC85EXdioxpcanzrNroydumOGDQ1NrMgVLSomssgiprshN97rwZGybIS65Lc+7Tuv7N
o/5jqubyQqmSXCFNbjM2Nx9eaOKKgHTqqVi7JCtVDiAOQUrfbdg44paR/I03hf3R6mjc+qbZTrZ4
vo6LTXM6z2mdnpwe8it8FxLTrkPgVp3IWHKObZuKdRSF3m8qhg+xmtfXS0aUx9GkPUd/fL3zJAh8
4hx/r+yupg57kMGlVnAcQHl8Hlq4/3zfSLD7X/98cS97zD9f28x2+ZEMpTnY1dJ2/PEhbhNAFse6
W77UztureKD7nBXmmau6jJfMXS9okP/5p/5NIcGqj0uIboLTmAXgn39smzdBO5b82NCR4tuSRxjQ
LVeysz/FQCJ3mKcfiRlpHmID1tqgBElFRo+2Cekj68GCuNoMVEUazd9KG+Q7TLjsrksaY9X4fot2
FPX0CDvqn1/233xYjgS343CAuH99FFUmoem5bwP3glW4C1hRrhbIf9NWTAxlhp87xcv7zz+T7u7D
N2QLqn1yLpbHteS3f/6oOieeMe4iEUgqk4e1+dZVXXtK5Pjggc+LyErExlIgY/DdtZsGIGAj0sZd
PKPKxWqWu+l9K2LEY8E3oiNajhe20Zn/WRGszbzI2HdA4+s4wd+yUNcMy/rN5W1zLf3lPUhTYE63
NHsCbs8PVxmj17r16hDynqZuhPf2UCPn3buRsevmmPPeJcfcDyFgqUje9Dh+r5T5fqfHoNlAB5Ib
6AxCweTU1pyiW8EYPfvI//oyBBI++ZcwtPDDmBkYA5IYylaRuGpjrx7cPt+ZAbJePDYrq/d2Cu7w
DXU12waE6I0GhloCzzWjrWEbGt5IcgZy/phLy31sNKEly4KmdmE/5CRGGydi5q1j44fdqp3AfMrU
b5m/vUD23lY5yNXOYiNtC6SVHBwrZcS3mY+K0wQcYvu84kLLLdYIdzOUMwq4K5aiRTvPzLdBdIm3
HtlIGf5sgGsVDX65nJp7g7KR+Dmj+2UPVCVOnN9BFNCobxdg/HkojUtefXL9pnl6oJVbIklKAKVe
1K6HJrU3UNI3Ypyzo5Lkart05pvU+xqIkWETp96mF7ZFwFNyCPWgNkUOHqkZ7M8yQqaPYsQCbbMF
4ZwfU35snQTjWc/m/Qj8/ClfgydSKkY2A9osUArOpWxeleihx0z2snEwdgj2djAK74vYAX1hQigz
feJkDG3g/TTLU1+AMSBjtLGHjhASXa7S2u/2fs5qDS0taskYoycj7I4jECy00/Zbwxtf42z6NoYj
VLOsI5KQ7TVfLQ8v52uN66geU4mlEq331M8n6A9IskdL7ZrT7CUVcG6D6B20nEHPPlYBgJsAnmyn
3CAjdbwg7RzvAjOdbtzCXNfVxHYakoRhDnjZUlIIOgjr7DwzurtVmwGq7GKjXLf519ancJuM2Uex
221H6YcwyaK7bjHkugmVOTUhwxbKmlVTNxhfSSCtBT4LOPGrOQzJnoYj79SfEwwxu8bwfnR2laHN
b1kjZ2Wy5/rvNkRslutOYlA3T9g5UP146qeXuvCEwT+lSX7u2BRj5BmS6aGoe/Mm8PgPtPn4IFsL
f09ffQvB8l6VA7P4aVsTO0MJXCBNAOUFI5d4lurXKgC3gWGEuWyO2IBr7zhYsCIyPOcQdslvIGpj
ZjeSKWtpVpsDg2/cixC0QkUrTzT49wC5GSqwGYJ1ypw8d217BRc12Zl82qfIAuDYLd5cBHColCAL
TyOpCMGYf8+m6oB8jD2+mcm91XWnUnKXQxwWO2OGn22k/bz321mjJoUjA0JIb1kkDYeoewBYcm4a
nifeZAKkR0scIiVs2n01m/O+dJInuNdiG4YZu6Ej4KCSuqq0992YHesEEusk3f4QjXaxEThJNinI
2m0wkGPTdz3EPIhBszn8yJwY7QqUaZJ6TZr/FdsplI5caaMMX9LOJ1vCLuoNdV524mE/bVJhjcwA
cEnGQ9Ot695gDwP0k9TYJ5VjMnARd2GvkMUmC1NzTxjWM9pw4swww9o/mBXCNnXFM6kseE2tRaaZ
JXhNge4aEalwfco34xf1U8IDZhkli6M7vwmsQztML99IItpIJGZb5FjjJmsldDh/Wru68bcUm89h
PoUEzJNUEZmCaxRvARg8QpX8S0xsIlG8+F6VmrCEN+kaGEG5jXRVrTKYpRvfbH+QfbErswwBX+7m
K5vljZecuih9lsUxCoO3TPmkv/ROwWWGgTsXQMAMA/xCuQkjnW5iWt5t7A0VLmzEF61OX/ykXcXs
0D7XwPO40SzsEv1FeG50wH3+fVnCDwW35xy0x2SE6WqMA1AWxobbaCq/TiVChagcuotu7S8Wsphd
OMA4C3+FcQIiKYmmddXYGR8klKqpMe6zGhx6xVJqTci1sXJG4831qoNLxvK9XXYQT1IOEEnawgVz
8BHjCbKaTgADtlCkkrnw2JjISXLX29q19RnurnPH98tzEErnGDKWdKzks0DEuIuHN6KC7AewnykI
5Qh+U6FX9RgB1HNxpw29eJ3lhBPYTOkecF77FlyTNH00SOvexyHzltlInjCFsIQS6Rcww9PODfrn
KrwLnynyfiKtbR7Gxrq0UN0aKzJ3Tl/JrexSnBf1zOWUtvjasoIApLzGAs8MiI7CC/BHk25hY/1Y
BaPO1i4LI6Ah6WtvPShv3GekCWx0qo9D6ACVLGAHdSXbR48kqChhe1xbydNYYFclwWIRAyZyi630
e6jqgS1n1u0L54uFAhsjUs+U8JJ1M7I3KesT7id/G8R3wsrvtI29SXfpD+2V6oH5HkNFA8PjFH0t
l0uj6uSKEx3BOtawtzBQrKNldPTM7tLFMVB4K7jlqDzWaBUXjQIEtOBzaBILlkKM2uY6vLN0foMz
27p4jvuVLsDaQMKrNxWJoBBi7UtjiVseU9ljM/gUq7yuuszXpqwvZWa8hq7/TLN9LJmJ8685O8Wm
tiUN5pCM5gHQHIQPDa80GYyNUqO9IsAeOHKPfBG/zZGJIUZJK9uRrgUVCW5U0vnF3qyZoc6Fs1eB
+J7XmUPKZsRoEWETmbdqFRbxawvZZM3OP8JjmX41cb1J0xu3YY+n1UJ5Uudfcz31x7YwsCNXM9E4
q6EuCdrIy23SNMPWx4S8yzLT3eo5ill6OzvTGYlgC0kCj9NJ7jUcna22Jar4Gmfi6Emst+jRJaNi
bmTMZRmLRhzr1SXCALxylmtUTPJQdMVXaFFp28PtJ4R2ReKV2g4GFI+xJja9l+4jBerNjKxrHbbt
Wo8zgKblVaadlT0YXbhV6gJhQL1x4qXAnWLKiArAk4MXXtv0mZSCQDAzAzsFf5dJ37ZE0BOkRraj
+3DOz0Oc5d9AHjzlNJwr4WIHxpLHlLmqQKmdijL9nCvzCazwsAjrggDF1DqY1aHu7aMl45+RXoDa
kGaaT6OwFnQ5CnnWeuhfzU2GODNLAxckEs8Jad2zkgS5U6OWSTILpZDtbZGOdCivzraQYt3jdK4N
YJqB4z+agrgWHaNXsNtDNXIFT7kX3ssqec5jrv+KeLttbg17FpdgdalJyIEv1mgPp4OsdU3VG3xv
lW1izs1I+cKdnAqECq5/oU77Eg8ZYtqmvFHBAG+yMy9ekB6Duuo2fUFtWluQEnq+06YddiKyqTvB
WFfza6enw1BCxzDH9len529eHEIgodq0BgWl4qufJQlgFbxAo263HGP2tlPYmw3AW0YZbsfSufMq
khmsIXzCFnJwIZDYsfABepfGu1ufLvGZ8Eu82qM6lwrS0CTs/TBvYyd9yzz0x1lO+J4xxDdqlPtM
LFk5jf9mLbdEKs1bHqaEGkY4x0C8Svqi9r4HiwfKzX7MvcB9TNzik0YTccypO6QU90M8YyCyXKw0
bn4W5UydtAIHwj1RRgcesnA6EkXqq2QCMEWCgJbiPnMbDwDmouTVln8i6N7winAfm2pD3HD7RCr2
uomM5kAanmS1RtKXio23JBnFXWGCNIZgGwDruNg1CsGEh0nGFHIdi+wXKqI1OYzcHeGhqG5Jzerh
T/TTiha6eEL4sC/aclffM/QFmhgZcEbI8Rj43yjw7OLefh60/jaaxp3CbWWb9blqu6Ov2DU3A4RP
i8e82bS/AkBdEOYantaiuc0TbFk19aDs9D4lBqCQ4pKYw4Gu5F4D1CurZws/G7iqAegOME/sc3Y8
QUIzvzATWyq0r56pu1XyonrnYVp0231+lJIpSdeWVPDKeJyi8EbZbDNEnW4mcj3XhTnflhYBRF6O
NVknCapL+4FKJ3ogjHTVCViUjd++0pQkfZHskFs1KxLIKDgG/9QT9XbuM/NEUDj9mpcsBT1GgLD5
UsegjpJuwuqoijWj8OfBOqVWqrYIH5aAgNgANTCcfTymxBKhWwehqJDmlNzyQP087ulehpuhS4Dy
WD6v10esUPs7e5KPoTQvebwXeXSfwg5flWzXilb8CAv1UDTI6RLXTdYaOiDqAXPTMbHjjH5j2arX
6GZ9qAzhp6GHmBuVKx0Qz9GhIMTs8VMk1jchxppMHUSeZqzGdUHotu/lN3Q++cqtFpBxGz0AfL0Q
jNhvZ+02sORfYVN84s4gssMWuIjdb7qzQInJz5pPFozLJsyMBtVg/MkO/NvBaKOtiO4h5K2YfxeH
MCes0p5QM7/SW0519QUc8ltUlg9ta6eAxwBYtRqnvBu0Gxqj6Ih5mGCp+SX19GuWyJuqdKDcSmAc
urKCrVYn3BDmzUQSCxhiEzsfDXDZJetM0BPnZtNwWt5FEWlkZYrCyi6jej9XxKDWeQlmVnYrCgVx
MqSP2NvEHdwZLw2bGGsXzXVwxNv27OcaPNPgrW1w3iscFL9y8tA3RjG/TNJDvZ7Fe1d6jyWuEiIa
CZkLy0tGd3fizN1p2chbSYzAyjYAcOUUfTbSD9F7HuO39GvVGG/mTPBz1uqfsaG2CCGzDc85v9Cv
iRd+dww+V87r28khOJJ6hC1pQOvh0woQA7VOR9hpELoYLHrRPlNP0pHNgRb8CTnqsUN2Al1CENoE
fWHtBESZEXtBetVMoZM14hhG0SNGv69Rf8PRbfdDQaq5HxzLYvwiY5MxUBxDCi68E4jaC4jQzQzi
3DAy9LXSBq6ifIOGD2l0B4yxgMld4UjidNpa5cHT+KvoOvnwkuHggF+FeYFeKoSM2jrr2TFReebR
o5swUAoklkN2ygcbj/R6crBzVk2E+mqxdE5oxvxkDF+1JqmbFJdgt4xiAELkNRvb+cbtdLmupsTY
8NQUdEoWzm1SyrrI3U9xRnJ7lXDj+T0AJjkcoL04RFJGiIZQra0aFJCryaKnTfMF/uEvM3Ojvycf
FDQPsLMM67Z/jBzdnNBBsyrpsSxyPIL3l2tAm8em1yeYiQ77YhxEsv1JbDBOMF/cdYPmMg1fwTZR
xTXkBrAhKVee9vONlTo/CyzVhLcxLEXfuADZmWoA7BUr3GLA+1yIbh7IIndwitWIeS4p+lNY2N2+
Avk/TN0msaaCUglIhajwcyUll5GRB/aS4+IfCAP7lZr1eAptewOhaFxNDXqxMYSLErMFnomkrFL/
BV0wGIKOk2ZIoGOG6Y02uVBA+uUbarhDu7iEuj4FVZ63zsmfmp2TwXFQ3XCTdM33EQ1rTH4PXQSW
AdVJe19Fzb32RyT8jrnz+XJWkSHBBg9ib5Sx2nSDMW3tH24N3aoadLjgjg26jZgAqQxaFSZ9LKfV
ZwMO8EaQDLpxreDRrbT7XJX5hqwmjHD1t8ni2ZpHgATJgyc4AYY5qmkOtxEmSlcjriaLuVpmSHk7
3ECJZ57hdhj2mLJgIKNB7S8pxrxeG48NeFdCUKpTCrWBa5NTwKt/eAHDvs7xvxBat+9TCaMutX/k
DZqFIedtdXHwUMVkrIygfeDS8zBDGow1IwHVO3ZfDCIcTGkeF5Hp4nzgCfJCWtJNV6RLsMW5SJgq
6TZYQ59/KfPq3GYp3w7iTkOFry5YqlVoVZfhCwtl2l8rL/ahUWyxM4Wr0AY/RiiwXAOMXDtekW8a
xz3GMHaZGRyDNmeO4mTjBp0Jh6jhmRQfC5CrIn4XyNJN6AOkIFMZYi4BGB2uk0XeGq/8gjE5mgca
vbIj7mpGTpMmn5o526qETtgq8+NULb1DzYhURuXOzAxnHQ3oorHkrecBRn4yN3JX0XOA5wTPzQMr
HEuc4Lqk8PXRh5v1JlNM/1LLyA5kdxHGRUXa+4K9QMC1n1g1iVAdmd7K2Dr471LPBKYv7ZztKcks
QlDwjf38Mjjhr9bWr8xH9q0lv3gSqaP2QJaqntunx//PcpSkvij7kQb93rUZ3DnDNIAEx7LaDIxD
Zfi96DR6UXQ1He7ANWodeSfoWNMJ/7KyJC1P9dINxUOes6/l8vBwnK0y8MkUjhZh7LyTsGmOqNb3
Vagfo9z/aUzkJdTQGnB0B7vaADMeyvaUT2R1pwFVjmBukaoMtX82oishdmGL5JkoNL6PSnfsSR17
O47d42BW5FuY1bMyovxEqxece2Ko6tJapuktbElixolJJdO1AitkpsC3MbTc2eNNJB2GSGmWbcn8
2g5dXrIA/D9cnVdv40q4bH8RAebwKirLsuQcXginYc7sbpK//ixqA+dc3BfB9syePSORze76qlbR
SOhMbGBoXw641LgwB9XDmkaeVJRVY8jn1gkegaKv26l+1HyvOYzpRwdo/i6GU+IO7c6EWs0CAQxp
NqZjmWtvQf7mts9iwu1UzPaDZyhEFn01L2iRUo1vuBor4DlTfahbYDyjdUitgp/E3TtnyiyEbwHm
ou1e2o4QioIKBtTxTFn2t9XH1aoD6TUPugqhqnWrrCcznsZet63Gel+Qg1r1CVZYxtmtNby0nMYa
R2Ewr8EEBVJuPXLwHKZ19JPWDAP5FhBZO8KSC+K4BjWN8pcJ/VAOAYfKINoVtDfw4MXPAMXzzDgm
x93PPVV45v3QDG9Wl/yajilDcDxU+rSWe0jhV0H+ghEzgSQwEkz4/VNNaEAL8Ddl84vlgGY1KeUs
Imu+n+sl4lVTT6LoufAJAPWeMW6sMppR69xg5Xg4Fmq3+amAD+39FSA6OqVCPFPOCpwlBPC1o7eU
XFG4fidGtno6um4FqwGpjmFBJcmz63O/M6TAZfsx2q0eTsZMPIEPaFtUM8y9RZEMtJ+BvUJLkyMz
m9pflYKi10YuG6a2InMYEG4pW/mun2kZ4MELkoVTGaqATk9mvmAG2cuctC6/DDPlaYliIeJQzoA/
gMiT2aAPe/Go5Ug9TlsAVCk4epcVdJeUkWMOa57qR7VKkmKkrlq+oGWpFcz2aafrBuyZufyBTAQK
iWyQZjN+q3Fgr+qSTIGb24AALtyK7JPgPFhcv74aSDLgKN7YPamM9Bs612/NJxC2Bu7l1kepJd0Z
rGwQpeasdrWan71aQw6SA3U6JrA+yVVBeJ4IhkmzRMe5YBgi2OEgpKIKJmxAVxDpJIzbLnukigcw
ULq1NlVMI6yFStfIx7iZtroy6r3MRx+KbtCgwAK6i4BqTnZf7IClmBQzgkXI3CHBGcxxzPf6M7JF
vfN09a0FfbxLE7ihJtfU5NltONa2tjFc/5eDFau1DWaH4qddFoy/TH/LpykGP5zwrOqJyC8mqJxB
imO+QrQFVxeqgbq3OI+gXfuJf5iM5lFASWehKo4dzGVn8H54iKAkQAA4eWb8G6juRfq+gz1bo7CW
Vbok066aP9f3kCXrN6ocYUJEr3BSfntN+4QU1YdQIWrwS6dp9MQu5p/BG4nryR4c8LE+dhiecy1L
M0fvpkL4qx3gvZGB0BXDqKUtKJMMGYlt5ttah5Ek7fJkzPQcmXRKYgD5qlpOCWZ8hrkch0rQ6pLW
9jOgK+7fqbynWWSf+g30E/vR5SwS0vSdy+F5zuQ2SfLgyKq209LkX6ySR1okGE1XHAOJwhlMPPq/
ToNCH8XtFkbES9oOx3bW74ivT6vCbFXoY4OKkvm3mO69jqZBoxA8+kqaecCZbWK3eeNGYj9Q/MXL
gW00W/YFMQ++BNvhmlgzT69t4TRDKD1GFh1BFAJJ9sswCnaZFSsSj+pBRucqACdHWy1twu4vIOZd
1GSLGGqdqVi5NjQpba1E21Wzj58mQ3SEFE+/e+3cNSPB+i4O7mxZBWsDzu6qGt/k0DJAHKg6NQX+
sJJbJbREv9Up8aEO5LfQmtcSmiwcmvjZHeOjddHNwxj8em3DvyN6Rtp5wpNBx7EyHiNhvwuY3RtQ
jivUxuPEdUtSYCkwIl9W6WY4KeteHz89r7ZC19Bs0oPRWspNgNPdSsYvWij4l8OPCjRI3WLYpcb0
Yy/1JC7afePbr4Pp3JvR7B4ZZBwi7oYwqzE6Eu8cvSy+S+GOAF9nq9rBEindgQWj7C95ov75FotU
DfhhHanh0bE2hUbxSJnJt6Hj/nYxxqgkeU6gXK8mXsPKGPw1vbGIND5HJurcwpREHSDgPF+ztgTk
Nih+q8sOAG+vb0YXqdNPLoHbOiGfKuWzhtoadgFc1+lJ72X+U0MDROJA1028jnocg4LzFN4DRHdP
X6vYegS9YhJUoLYl4XnZqopcadm/wU/sk8/e0BR1C2QkzZzKwywFLN5H5VM7UvttI3eFirMejSRR
6DrNKzSIMgxc2p+LWmtWrQYIPP82O7gydsNio01YZAoxUnLpTsRPy/bQZgzzcT5xfVIh7wSjsYnQ
rtjQdNfK7KvNYOlR2LkldWu1vTNp0kUn9PKNwQE8jOrfAs143yMarxQHtJXZNNt5YMiiiZWZIoln
ABxXgyYvnqt59MAiXpaYnjk26Fz+lfnlsaVb2yUt3tCNUI0ZqCOGyHdHseZLT3PWupb9upC6yOQo
wIBNeUILYqsI174gM8GekWkpYzlqA81TUzKnKgboI6aSoYzp87VxpzBuzGNm1X6yMVpdUkRuQwL0
f6a+OODkpr8z4yhEj1ASZ9B5rGHjFAC86xmxeFBYL4rqyjQaCHnpMH3qQR/Zpkl1Xst/5e7NOjiI
UXWbLkG1ytZTz3FWcKZdmccSUF44ScV/pqi35/zg2PBWm7pngNNP2zbXjnEEpIJ5GGDkjL4AxCzP
yi8sB+s8cDwIE3PJe8dV2WMN8ARGDOrtMxsdmBBk52hvdj9Ar/MgsUYBfbRCe485lkAMeRVadPGr
SGAt0rdlDbcZGyQ7KjMwNhDd3JByFeZFAW6H2hvu4ML/EIxcSBrlKa3se8REQOHs8EPeUzBdoMom
8TMyTa7QsNT0awysIp3JwWEcATdWHG07ygSYZZ/NIlYriM40ss7tOziU1yizTn6X/ssC882jtnMl
zPrVDVp1aGt6TTXKidRoQHefnScVdXXoJUAEndQL2zo56FIjE7RcQsI7YNw+jzYlN6arH7npKBWg
XJSOgYIcWta/IUE/WJ15GdHGYRW/RnY80u1gtqHe5WwERvYJZRRskEGBJfSKKWH94zrZEUMAt7rn
3WW4exCepp3whyfJxrMqeIrDPQk2CB8fX7qvhROnvp2fL4Vs1LCsJj17TuvoYXLbr7Sj1odiDLly
l1q3OBG49WzzgdEdrZ+Jz7mpGqmUSnIA1sn87kwlR6Xa/5EVh3EnlnQCBL+tBNFj9G8dsfwNVJ/3
hlVkYw6sSVEbXVrqrjOO0bHxUBSdv5YcxDODmimqcdgXx2nxFvVlc/Trfx1n/3Bun/VyxjqYVS8w
WDH0+Q7VSu4zOOp33GdHAFhQmxwW5qpHYF+KNYBNjg9T3Z/NjuJNoKnDWhbjueSSke2zLNidMOPF
O58TVuDtDGvk9Nx+QORyj1FcpitKW8ABwQeOzAncxzSvcl/8DTQg0tAZPJoZqplV0OUgKBlR5bCb
Y+5wpZVPmdn9+XGskw0nRujZu6RCdOh7HY5zzuVGpp5HGKQmsnO0/dLfmJR0GfkmzIF5fvAocVtx
pVJ/ob6oVi03ulafYIfRggESb1VP2UedD3C7wJLSGyG3WmTvwfXSCTjdjjbx2qopZe7RWD2rs5dR
HKaBqXsy9Mc2Lz6dqtvTa/jSlzkNcPzdjDE6TTinCXzx/vkpe4+uRtVZZlIrYXjBoSnlq8dMAKmo
hPkBCzTMOA6MOAFXmS8P5GDS51rXd3DAcBdWD1HPyMkw2i+3QUisKwxqjkN5emp1IFVodlHm/GMm
v5JRxz5nzBkvjbaiecpcuWkybB4lB4GIE4BmgDf39hlaLzsNl23fyLjQ1+8kxzzYiouumP7mlUnN
QU02BccJ4uBElXr/0IycgFzv7FTlFR8crh6a0ezuhhrfAVrfBYnebsTg7medWcnEhquK0veMOOLO
RLcK7AL9zaOEu7AOVet9CoPzGSnDL8fbllH34wcoVY1BzW+fT3fYY8Y1p076LzP07EKbXoAB6JDh
PNSFgLqDgar6xfNqU36Yj6C54/op65nnB4gO1OXmZwe5ZG+76bFcCrncxiqoc7FWmQWvreh2mcVf
rZZyCPscZw//v6aKT7YkV2ujrzl9+ypTt9skGo8zQpKg5taOl0Gql96xb35T6oFrdljMLpxXdoXJ
pvL0CQK+cxhFgcDQUCSeYyLJc+KVTgTa32ClWadS4uTou12OjX9bR92Da4/6CkV6CwllxZt86esO
aVag2vX11zSQuY0L1jFIeS+CnPaRZzBcG8IxBkKaRPnu+tI6T9rClkMZaQofX7//bKY/fW48Gqoe
WFooy7NN5M96tHZMj/+SJMrImqt38Ov8KTzbe86TW7fKvh7BdbFV86zHZtJCFyAKylj/LnXxMhPG
X6lXbJt1GXCIkORtNNAMRbqpl4JP0XAcFtGdGaGZ0UHqdb69L4KJPY6lhWnbg6r1J3eTBrCASvFZ
WhDOJ6Yzq3YYvmOFHQlbGJfrryeRhLrBs+9njjtpn91BTT6yEdd5fg2QuYv0FfDSVxzkdAFpxp+C
wb9yoE6Hsx//G7RmJvuCIc4OoCOVPE6zaYq23li/A0P40wWuGG+wCSsTfxZF9w+tx5XFY6tD8BrZ
/1F/yH2su9vax6QwB5RlGUw/V7qoPoRXPdiG3LoyS+kgYnyQF9yOjh1tpPEy05zktpY4uU2xcySO
CgO+H8ktLHhUDOP9VXRudeYfCIbhPQdnPm36CEJJTDY/JQIN4ZJWE0e8iqx4B3WUrJkbPDf5rOFB
wng8EoNDj0GxZXuRuB6QrezD8qZi67v5pzdiKUlR9NAYXnW/YejD4r2mUZsRPHV0fVbVYeUYHX8G
skLNJJ7NFvCvBsolNWw/TnX9q3Fviqxt14ODFU5Y2Zu0iukqNniEx1M0GCNEKg+2YdC+dTP1Xcjb
xVpz4fNXGAlMsGjs2um94hi13CL/mrShs5vQFDg1iJKo9F4+E06FYNAqY03Vl1zjI+pXldbzOfYP
+thQYLAsYFpOR2It/qJgad3D0HPofWunpz0rJFaytTlNH8FMa2Lh3fn8Zc4jlO11nHkfwjKbnWim
o+7TZzr++oCMT7iMvtvZFrsqoLtSn617IG7+RknPX2k9+3rZlY+APNn9TT/QhSw0dT44iSg5+hZ7
azlsPfbwIeRVO1QNAPfapcB8FAtbVx+/jQW9XE/Tl9JJRM/YK0NktS3PzSkkFV7vibtsQC3I6yQf
ah1aqEVf9YoUxo8xtK968Z268IcsVwpWPAquTDWg3zCXKsFABBmWgdrAOgVbh+Q0bQTGlJ4MD4op
iRyc8q21mxw+1Mypq2WA7m4CqznEgfmt0Yhw7HV/hmFa6VfIUQ+1Ybz6up/cTYWqnkZnfhalUzAC
021cm+pY9p12MAKyCaT/LwCtepRgHDpxxpinXBrJOxRboC0XkainXKdhEWjAh54MD3WR7GZnbtbW
nDPpIu0UOUl7P+dQak2e34DkIWnApdPTBlseh5ptZ7DT69oEZdyi184RBxP9CV0XZ7EDknz0HcFk
im4ESoUrJPDSvYygjMiq00CFNmrHU8ygve1faz5YYof93ZxN9/iVYffW8ZaB9UlnrHxKwLvSTkUT
QDe/aS2SmZ5MMR85Fq3IRZeNxvnPY1s+ZtpTUgMlHBL26xCRaVi0jrqzAH8971zNAANrsKWb3HEe
6R+HBoLZeRKo+XKKu8Ps9dAW0rkkaO9TCulAqPHt8TJ602chjPNoElgU2fzWq6C98xnlh3SPHYbU
/O68ed10kQmtXzvVNFmiqcFRIML05ejE5DyMbfQvALJBFO40teHCxw5Y3bVznYYsoMnJzn+oQmDe
4hUXj5wOa3Cmr9iKDesOwde84vyMNgiEh9kiGd9dRrbER4jlw9FpJFRW37/g4F8019SC0o/G6fAv
zFhJVXQxtAwfOOwldBDQBnMhztU4nHF643exy1XlBbs6mWoM91TPj/a+z+VZ96v8IgD2OMp7GETD
ri+38qPedVtjAB6jdTp0j1JQE4idKKfdjApxbx2lzNUbAMLIXggKLouEUwZPWfQ5TvlwLKls7g56
Gj+3Q/Bo8Uha1UOAvsrYoxPzvp1j3AKTc62s8tSYw8HAfzVl08W35TaK+mlHJq89BPAh6OBx3krE
/1UOvvU4aEW+b4Nl7MCzr4SeWjap9WKYLS4Vr0r+5c3WdsU7smW5KogknNTIVk2q8p8KUioCAams
THwnK7ukb6Ya2ms3wtAwtHQL0tmmhLDFl8LWal3anPgSNNoG+iXzMozJgRP9jPN8FFOZXGu6ubgt
Encvpp3HO/vnd8aj39mrNJr7R8o8+kdhgVD1bdM63r61eMaHY4lVHIyTdjJjHbM3hISwy0mHNiVV
jLbn9udGT3bUKxhXsbz893PLuzaemE6d5ZN2saXD0LkRd5Ts7uMZAEPZjsmTs5ATgkEjc+qaFKZ6
nrNnB5UYK28BPDQ1Rx8jmehoW76FvhpvNYn6xwKk0WjBCXP0g/zMum3d314GD7HIt2NkbwZBd414
gZfMtjdO+suYpiNeQat5xIPe2IqsxOjHJy3y51eiaF+1WUX3t+8KzHsyKuMHNejhwDHhOYfrxQPc
vk8XmKevaH5mrOrubr9IA3d1yJyzWdnBqhk752lw5/oJFhRzXOcpXrA5ZZvf51m6rsiVPlpWZDzq
TXGyaTi6h/9fHKK+HsOk7G3YO5iTS50aje6p7JiGQqRdJYPHznpKqg9k8GepWm8tmgjOpcbckmlr
Epos/5BWBfL2LeWOXS3bzs4EiKJtxlO/zDRvL7mamG62jXOgEi68JTJ1BdBwWl5u395eSmGDipsZ
eekCbTCrQreEyB0MZJlXt/BY22qMob2FWj91D+aH6zr5A7CM7sHxg2CX0R2wMj8mU7/MA1Iqfv73
sbE11qtWHFWSp++pzs7RhyGMZJRcJ3aOG/7d/dalAfbkWMwLraT5VhWYnRu6qje6b7F8501zsB7d
QILjUJyaveS1ZK5wkrUfYSf33Qf82suv3F7avrdPRSHecOf+UnJYP08CkcbwXeu1LdJqPTD6uxaN
6ndur79EMdAR6WO3IwBWb21EgUW0eK39GI8ZIbpwHCXlc91GzXNwqRAULqgH9mWpZamDC2G5YcMh
qELL0K0ToSnr5CaddRpd8QuVCwnZQbjwzPY5XUBExkIn6UUWVoEITmV3GPoYd+aUJNsb6uj2Qt3B
saJt4/4Gexr7iFQPdKwyGhyiUZr9UVQLenfBmlnatiLL+t+Pc/Z3Ho4xR9MfOqMwrynl2X4w0oAl
cUSv54B7Cn8WQMXW5oIhiEH5s9e9+LVXhVruDK9NnmBeyJeC3jzEPU4NEpDo9yA6+gS0DnrdFq9Z
U3UHSXDmUZvTEyFBhbBNbw+4ueZQuGrbLsUmmhfBmxLWyIiwYffIkJRnAlYaPKFUXiX9m+FUwT90
2k4RYFJ6ySPA8ORp2RasCA/NyESuuuSt+4dYYa8Dm0Y6ZQBSud1p7LecJ8QTcDbiycvK5lI345b9
M8ga7EDt6vbl7cUCGX5i10voIcsDaOFvWuKbT5zykxdz9Il569GlrmkWKwclN4VPelmpzjrY1SVJ
1K/dmvHJl6PYeP1QHpt6+NFBUO7ynt0hmAHLvJvEcxm4YsmosJX3hnZrdvV0tBWFNOY4LJ03154n
6pUKSGvHn9fvbaHEE87AlZaY0PGoabq95GBs//uqqtVvTWfd3u0hpnsLep9sFr5S1tbH0sqMoxzG
ns25FV8LFESm418K/8yvHlQspcg6Ty62RAAxutyRiM32t3XY9PzyCDmSzr6F0lYR/gZ2FFOQJZ1H
0p7xFQf/34h55V4ltAzGwYKgUuXJ61mh9UC6nCe8HTvVcqdNnN/SUeJ4rfVod1sc1LIqzIoPkdH7
1sCR44AwXN+ocp7TUU0+Bj3lPCg+Vda9Ag7CxBSwoa/rNH2P9CTdtkmrdpor03cv9T+coi63Tm9y
fKOh9xTDwj9Zy1cJHbQRmYBrzHGfWTUUfC8Zdtjt7W3g4T3sJygiOYWWa+qodfyKVvl4e7E8+03D
HXu6fUeOiNs5TtYZS99/v4EUwwwd9aenGWWxoAtqv3bUF/QXeylUclPN30e5/de01VEr65+ySQRj
6zR9GZJxYSDIx06Lx5XJf3KCZkbRZpeN7A4QhlSjW986KD68TMavE2OghyOIib21x6udN/O9nJjM
6EH96SRTtw6Kkda6DEqSGRTrRDJQDJ0Rd0dEB/169Do3JAuWnLsmQmFnaLfteb6j5Vr3jS71c7W8
mNQFosIsX9qqSrZE9MDZLt/SwFltmWtSz7cwUuTcJIy0wWxKZwldec0jobQMD04b7TSL0y1lsTh2
FmrHSBLjycQIvfKhSp5uoWQ5menp9luk8Iq71MWlwuVQu29op2+1b/bftV8/18YpYwhwdhc6tmW3
EIQ9rQgDjyIfC6PRZnZQdW6rHJ4J/BTdNmjwMTfJozlUxd7CTrNPu2DBNUA99vqrSorphFCuBmQT
1dPftnypRrnNKUEiE5ngPxO58UqDE8WoCfVNRs2e3IgMbVOVeIrplzJeC81npWXdzCEdJpWe74Le
e2QwkZECY3ZYlcilfeAxKyoYHadOtmG/5z5NyDT3uP/OQdQ1sNhSO4zNXFydMTsqnSeCHNS+kA6N
UrQJbiz9Q886cX8duDHuXZ45a7/pvrPB1Hb0II0Qtn1xB/jQXTuOPjMgEgcvGF+toK32eUHA2jCL
FwwhmgL/pk32qqqmGSmWuvuSA+fGqohpB9x+VyGMV3DV6LsDE+zJE1hkepqHSkb6ymBLXCvzzyYT
vElcSz/hhtfh1eGXMOzyXi5dZBkVKCrPuoM54rdzNdfY1bFI4eDzAp72JJN03GUsMQx3on5Lmde7
AYo2rPDCod6i+7N/NE5Vg7CuM6vUEntTEH0KWZr+OpI1u1mll8zJeYA4zmW2WqbPpnZqpO6v+qKI
Np2OO92ESPJAb8vO0tWZ/eq4s1wKY/EmU/dq89Gxzlm4c5Wg/63Lh73CFv8BOFqFGsWqWsqY1xvx
Iqp0iDYkq5szGQFa1MfG2fv0kd+3UjWMdab8OVGLlFYYzj29AQbdReNbhTTyXdnmf18sP9FqRNA0
JqpBsM/YzngA97i7guciGR/Fwl0LFq/kMCs6iuk0XnvSj1dUGJovENXUuc2jJ0zy24lDQdO8NynE
r57TdOg2zfQ+2vpBEhdNcCHNhDppTugy703ESAOcAsYz+9txN6cd7DYKzA6lsdzEt+4jY3SebONo
O732mPfeq01sjBOk92S5VGKLjFlEabTNlZjeR5+hfdIQ/Ty45nBpBnJwXIVPtxfSKg8q1+wTvCYf
f2GMIfv/2zzedpC3n2GZ9DAc/LXSaB5Ic5JGTPPyJ5f+HrZfvh06AGrWyLnVddLXZHEWBwbvMg+R
6I62I8/aJiYs1BvwTbJc3IOh/TaNmo91QRbcXmDrL/2gcBilpS4jjSnbzOYQFEytc9Ug8GyC2jwZ
xoJknDy5j90Mgj26HvOlcthTSJs8GTD4z6x/DgGGI0TXOyUk5xDmaPcJzSnnAI8OEMLpM5v7fdLx
sWyYufT7YqklSDGgf7aGcaAbMqBsN4MeKdLvyqnPZsZTWJfSuNDgyvA6QcDIhumeDGywm8aZ8Vdl
6pvCFROQQ4o8Me/Gh9vOstGS8ZLBEuBmU/yPBRqgiz/+CuRhuPdVH61ig51gie3oMOhIraaYBg5C
hHymrmELtsCQcq4/aST2vtRwzva1Xp+HhQnqtHCE7XY63r4zcnEM9CI/T+0TEo13zYQZPWie9jRi
3jZTylRpIWKQ6GTGtSvpPqGI2F23y7e3nwWSR4aSSyh5WnhbRdMaJ5ENfMlx5asxp2pnM9C6u73U
rlsfFX+DhAryu364aBBgF2OmDXRyMHA9URoGUXs8BQ0D2BZ21tqPhAUdlKkVVkPK5xoxVW+8PczD
wVSmGb2+TlFUh0gqhqEuw2TlLukwt3YwwQ7ec+Yq6goa3sneNPFTSLSVAqsQ4K/4nOoUslM7liRn
DwJZ2av0o+pIV+hGhVkTcuhAzdgerH7/1Oj0VxFzNdcOrWsh/UglTR/2cSRzx0zSvxtmN/dWyIPJ
Nu1HwjSVgkDdnyKSk69WS7S7kNNnbxHuojtnOiTOaD+4TfCSEluFPDAHhJmFe/9W0oq6jQyHwePs
uOqMZnw/DSlxdeGqgiI97w9HYrUVVmyeCLS9Y0TCslHIbIuJjeOqBCzr9LO+muyoPfSCqPh/sFDD
Mt1t6dxTdDn/2VRxkFaI03velYHxeKvvicBeqwUYbrTwF+fIqDY1voxt4haUI5MwQaqhVw3P0/Rp
DUzrg8kSl5yJ1MWT2aOthPgCinhvTHnz6RiSB7nv249QCUGOFNN0B8Z4hgbgmLt4wsCSLEWJMdwS
umQDcbl9BZ1HXpJgfiaGpo51i9zpuRlMgGXd62dT3ZXd+w3d2yIB7h1X/osXhu9NC7j9XCrd2SWJ
S+Z5qlpmctiZ9Jq5NNcQFGVcPhWF2P/7S5qSwUYHmUKy3TOPNka8GxlFW1aY21dWClATEsNr38TT
6f9eZtn8v9/2ucMhUkDv+e+3pLijmqCl9XrRKv6PNuwuY5IkwWxz+wWRshk0jCk7UeV7autZfhoW
61ROwIphT57uYoruaSsepjvhdoz4SfPggJoe5iIaH8q5XdetSC7RIJs0nL/qdmgfYpNfHy2Ht1Ir
6V3kNzqJcriCwYk6npkffSB0oZVcWwb1d/XyklL8SnDxf78vcQAGbnHRCMN/Gb5HdoEmkQfqEvK7
UfYNzlwcWHMyb8Dx/eqG/ZykxG8lj9FtaqqDb9sf+GQI69t4U3xd90KooStlZVsuZ1ZpKtlXrZmm
W8SDg0bfTcbfMo4faNKRz702fqaMKIYuwiXYbmMeaGfPCd4Zt1POMG6GxrNpsM/iHVAjP4QqLBhX
h42da/uyGI3nyZTk3hggt+XSqD0W7lY19R3nm2UrlnEso4j6YCjeed+uP1U1wo3i3LGPB5qNdLdb
2hyG7zoq1GOVCQeydHHQzcLfhKWGoRrnDg2UTABOes1uMfAxQ+vpHN1ZcMXugrHjuF1ScrZ8h5Fq
T+D2NaIeLoQf4qxp29qnSjXHvIuvTU9UvDESbW2i+yWtmE8NwbpST7eiXYjhIxSGzkv6jd34l9ad
gcjU2irw5jffYRzowO00s+6IzPbP0hlo28Uwrpwhfm3KwmDNH9fTIPBQekO+tmJqpDI8/xwp3O1g
jwEBHM9amkfDAT0uJPhKsRVenG7L7gYrekK2XGOgnRXHIqHgaljCXElVX4VRnpIelbI0y37TmO2+
ivNvT/TXkpQ0teOX2GrfUhLCD3pfnodAnn2npcFiwTzzCCMPodWHFvEBkABeJRGtuonEPrZ0iWtL
Vy9iGaHYPTYgk33Uui9Uc5fNzpHpKfB/DILLYT3U20k9c3C8xpD1FvUMRV1XT3bNHKUzUsI8WqAP
e2pYsW7cORkuJiKo/imdeWI5GlJaVwybubOx94nCokL4ravLVwjl6BI67rRWd+hj1u8qN44f25bB
bsX0BjnphA59ERF5gdrw1dEveZyTkoHuONGZlqXL1WmtomSQ68gdyj2nGH3T1sZf6+xcByvZ2A/W
XU1/5dxWjLThXcE/b659iSVai4dz1Hc/dZ9+acQbQxGrau8kjs0BPPYxLI9p2Hfu95ilhBVk123k
pDryZxmM7XSLA7jlYFP+xHNwEk2Kox9fJG7IiFhDgi2gzLkaZ9Pf+/4/V05/POCRDEznr/lqS/99
RCUjC4X23k3uudBVus4jbFSEX3ka2TNhrTbjSOzyt9Q/4hh6BkmBq2Bggne+/AT9OeHwVJvRoNIQ
7MkYYiiKDhhWNlorfluhNw8MT/kDp+mE8yNkm+QTBmiZE7Uz5FquoErLjlrbeXSv4t6spHPquP1x
28YOuAU1lRLafUJ2WzAuMVpImrkx4RnHFLIklV98ZVJvo1e7KW0/6A3KIPUDHbGHSKzx6FIxK7aV
6fv3sBOZPQqXTJcZbM1G/wkGJA1Gw5yvoN7TaCn3RO/L7RznG9EZ9wkf5EajSTakGmVL2gKegnD6
r7wFR4iNHc/L/NaZ9a4vl+zjq6ycYo/PMMBk1NibQFRPjnJ6CrDj+1y2EFVkM657mxG5lzMKRE9d
N4XNuiifDOpdQk259ESO7/YgToEsd6qrD7Kn2qWiEQQPiOxWY0YwNcJDkAW4v3RfTfAINO0hPthD
Uu5SDfR0S+c1sLTkX0Rc6ohlqlqLnsAwla0bmejWIdexd3Bog9RPvVSsBngSA7HewnpOxlljPgrV
nO5QzEim2LijJPyqc8inlKqxg7OU2s4dYefrg0oRhqJr2xjRkvpxsL0xMeG0ej/5z1rErvgJ0gaJ
9aAn+Re8TkqUq7gi6+UrN3QD8RnoHM/64GS79rCPewLANTNw7mwe4qnG0T5wwwYy/tGIYUwrrAWG
AXdi9Nh+jF2lAwxIcChNOLxpoj75kfrCNJPj3rUfGqsJYxVT+2rTWULsAneUL6NVNPiXotPSTVHS
fjsQCxDYr6bRxCYFC3xfmBbMcZjgi8sLAyC55QzbAMsYKwa7S6q11gXo6JXHmYSbZCI/MMXDaRic
8wTE9WwKuc0mCoRM8SoDCz0QZrVrN2Ai2voeBrS9Njxn3JqVWcF3Skk8LpK+rJkNFT09vL1ikvs/
lJ3ZbuRItmV/pZHvrGvGmcDNevBZPmoOhV4IKSRxnowzv74XPbIzKrMuqruBKkHuTik95KTx2Dl7
r22nDTtkBndLlgs8HtQTaCvxyrUolOwg2YddWR0Z3r00Y3cYc8IPtKZ8c5nFVDlr3XxPXCW0uDXc
psyxVYDEr2fz/D1LYgj7+NDaydWoCd4b02aAU7rFyinbd79HeZ2N+YGp+Xbs6wcDtrepBdmqs8xq
MzZ7nKYoSoHeL2GEeAdPtY9J5rwUYwhKtHss6zmAPCGMEo8bY6KmvHOnSV9PGtOoLiuJEknXcaz5
60R2OgvdqtJIOUkURgtaQjvSRPGmWRM13TgPR9jmFJFzaXqH+PaOmG83mXUUsQ3UQZfy1kIeS1rA
tJqinqFpPGwcS8fFYMZbr5D4YFmW2dxr3JVwegYBm4G8WuuVnx5k9DEaKHE0HB1drrn3hDwwgcf2
QRINj+zbjJV3FfXQ8z0oxkhEMPXjy9yM1ogQjoI599jjKEStWcNI1URRjzxfGevSDr6lIRrawH2K
SPZdDfTOuEz84SYP+FAox+qBaWkRaq8KTDsIEpzBZmJ8RhZ9p3MZDv4pPlDqAjwPQ8TfBfzGHtJH
pdjRRngmMmsNPAwRGKxWQUOGQQB688itKgTBYbuOZHWTFH3AtShpjBMY3mr9t8Kq1Ldazx/T1nwI
W41xdgfgN9cMPKPBJcyIvsj98dDmKJitmBm6OzannLDSE/WohY/Rq2807FQatkW0uvOw9N3oY0oO
CDuAO1qfkr94L8VU3lUSg14zZ3J7RHJimaORmebZupv3x4bfwFew3XUj0cdb+vDuRfI+aZpzZ9Xy
JjCGVwXruCWHYOeE8tV+0MGi3TqDh+rBhmXEnpQ7j7ybkJuvnMq60xJ9MWRkh8CXZ3E66uVEcFDA
OVUTtGnQOluSuTc76rFXhq24hc2yK98aW2kXbsa4Ly1YAOFEhLRkW1Aqe4vqHOXbLUhXfYVsmZXC
fy6b/jBWjrmHE10tM1n/4FL66JKXxG1ImtEAHAc9AAWY1+cUESdWuWXsdy0XA6mYQqfZmxWKqXVC
aqSTriTa5pXptoKrcLBwreUMJ7wvPde+ZTXef2XW43Iw/Rn7xDios2jR4nX0Vq3eYqep6yMJmO1K
2W2HWa77IjlFO6RomUqjAyAgmL73AXp2rUZh1Rr7otG3ZA8/9BbLFMHq7gwDIkIQUzx+fuo1w1V4
b+TSSJCVocw2thrCPM8eUCRDGEORlm+KJIe0b8ZvUuP2CbZnGtmimOKl0cFcxObFj8NnHNHEHs5w
HmGS/F4nO5Z+hGQ2QyETs5pmYfQaNyRpgpMs3D1NTDKr2TSZaaA20WiT7qOF+9HjvtpgjFiy+f1R
Ti7SC8WEOXL1N+SCctHl7UWMoYMBC4SgDQE87dduzCxSE2iDh+6+T7ky7WyUC6ojF3ZB5D151pI7
VUlxjCgwfOtSCylz3D33fkp2XzHcEEb76tbNUkHzDRjpLNleVbwRNOfEtt0g/ckWtGIhTqf+97L9
DilyNk7yb3Ymn45Ipx/yGj6R0kuEaYg7waZNrMOFsc06MqO7aHpA/4LoLvJeYlf7avKp2MSRC34G
6rUfI/goY/f7aCdsubJ72yezegwizF9JSh57eum8+ovm7lPI6okZ0fc31UGVhUYaEeiJtPwOLHvX
WdPO6zz4HVYrl1lJ5SGG+66cmk2dFfs0ykZMj9EWlrTcYAHIsO8hFEnQAzmh/RahMiTPJKTx0T21
E3jSMjAUmgR6G20QWscJEWtQKiwwKoVxPBZvqYGBs8fuT3ShKElcLp/IUznkI8LEUdu7+Y1WuXJr
OoWOT6T4NjryrsIz0qGtPDRT8gJ7T7LzYJDpjZNa6JXFRykLPHJ45+jSk6z7OplcNrWNKNlN+IxC
91R3+aXSbKwsdvlEDbPxtYbJm+Ny2fLJrfPhCXJWP/P63tAJ6Pdm1L0HGg5e4SCjjAwWcFbIm7Sz
53RMv16JuSbWrdK4c3L3u1tnKBPJlc8a2vdZ428LzWGGkYpXe/gQ9JVjaX+LJfZXw3PfVVGuwO5e
2VaPfdXOWtng0ZV9c4PbkOEBmSvjRNC4iaOy7tiiaplx44rxAYDCAtjtrc+9dhnPqsO+MZaRHTxY
OIiRcwESlAkianYqZYNEcfSzeNUbvbUpKJpTB+qJGaBzVZ3atikX4ETeB80PImutGCdJg3GpC0Kk
243zJSd3P7bpQ1vqWFlq69yiLpB0FbFAB2DigHwD3rGP9oG/16Zl2rSIucmBwGB3qFnU+B5KX71o
sc4X5qaTbGLapKjWgVWu8ZI/aC4OO+xlTN9R9Cl6s1RuBHjYEgmTbkAtKcjk4c51tOOuX7kZkn8M
v5kHdUQjVooZzwHryopP/3vkwZ8Z2vhNa6utH0AXdDCkMVh4Yii4djI2dF2Egrqc3tnhNgvfn/h5
le5tGr3tKuADWbro9DXct1b01jf4ThLirWr12lTsVxytRpSaJj8g/LiLEuJcWYVnrzlycW+dtviu
tzi3mKLeRm765qWSvWKDWradCOVB5M6s4j0bqn2QtMfaJJhyqLsTFAxqZL16mDRzbWoF2nHZfQtw
oyzGmMjXadgRVyOpnzhZ8BlDF184Tvmt98yTr1Owh9JkoRyObWcGG7Ov57X5hxNG6648TtqDULSK
dD2nqEdUPiT3Ze8dU8PfTx2wTosA8tpynrMasc9EIhtTSXRgafNkA0TIaCdFP2iP20iTdKhPWvFc
DmxrKvNJaxs8hwXtEl30hLl0BAxN3RZ0CCOjoCkQwCwaIu544/l9OI79ivsDoSTeujJvPOqkgE93
JRAx7MZmepaZyjeC+yTePSO7G5nXceWvy6rLFuO8gECGiSkVzIWhRA67Dw1DibMeph0MNpFircut
Jy3E+UkLjTRQHZ43K/axBWtp5HANHUGVNlZ0JrPZE5Zi7TyRaNwsKG1JfQpKGs9OeTt4aFGrqn0r
Q+0bXYFq4xeDYOZqfNjOI4p9gAMtnxLGC7meV4sc9hjo8IDcebxzs40qR6UbmvWOduoFPdHHrLch
P3na5IYFGk9D4uh0wZp6Q0c8gZFRDfbz1LaP6DsApjn5oyPJFgr9S0CMqu2IdyP8coI6XrWK5nmY
heeEMTAQkhem1/0yi8+93h7hWDwZQltMPaFEusPlhOFo7s94PzSFiTNW+N0U7mK4tToDShf6HDM5
R5JDTsrhnYEHiN5Cv3VH8W7azeOA24GEHy2mZ6yZxX0YwE5JwhDVbg5hQyiilLTa2/W5RcyBJd+1
iNFMwlx5ZY38S73e/KANUy58AxeRHxPLmrFxdJjTcCp5/BmKnvsNFWiu3Yc5N0E0OsXaYDuwkHIa
gYthRuyWWaNFaIT9F13gUAgUhpnSsdY+cusLdeM+zbtTV5k7LSP1IvVuXIfeedl/z5S46MgkV8gl
z+Asbo2WyG+jfDQ9nHERHBG2y/m6tDqsjrZGbSjhAOpuxtoHOmRZ2wwp7RypVmPomw8dFuPaNaDC
VCnK5Xa0SNCSS31CfuJIdY5skGJO0O7GlOqdGnLEy1x6Szm+zogZw6Y3bQ8oGSkeH6eAvKmeKXMc
d5jPUkmBw3y/AdBlwvqiGEs/ibp7k2nzyKYOFkMfr+CWHn1VYzDWcPLYbP7w6ioIIZz1Gm3aRZZx
mQlwS2PtW+eUTVHB/ALAWikN/vqORs/M2eLO8/B23KZC+5ry+wSC5bY3ERe7fUQ/tWGXV2rxXYyE
YLxGBtvdorJGc1Xnxq1T5j8YFpQrqwsfAuSLAWByFqFo3UxhsPDcwLip4azEtfNNtclriX5vZKC5
yhz9JEeGzS0qm/4UYdnte0BC8JW8tSpA37jIlMSAHjjCjg1iDiLkWJJlZYaPtUcis8i5EIvOoZqx
73XdCteqhdIQutFz5OfJoSmscuNF8EFF79BNrC6R5xOvGZDsm0yckClxHr2Po2MEQJJX2g8moCW/
fqeF1i73mvBUWRkfic/9OPL7FTQ9JjZjujR7fz1MXHMUDDcEMjFP0lxmhkn7TRBnekRNBcKK6gXS
oJx5P9agm4uKUblytFsb5cEemfWMpqxZxdvIWxrec0RHag3OJF8UM6+n8r6HCtktGwda2YP1iYqf
FDPuriuu9g0Ko6WYRLnRyrJe2hPNzsnDWN4xTQI4ITlUeW+mQB0RFbew1yvM4iimgdtCtMS+t2aN
h5eD6DT1swgOGvd6fFg7XXa7ChfSMiGTe+GL4+Tq9znQhEVge9sQIQVv2+nRFBndHEdAsD1SRDyC
4RKxD0uf7Zonq+6/ZQaFfJuheccMgik7oRcwRrS2Ktf7QPQEFqZSB3aj+T4rxkcafyU9Uf0Ievd7
mY+Mt9VNKcfutlDavpenimsnrUlfbiYB226+XOvWG/aiNdaWbLnftOFzIIiya576gbNfpdV89p5D
PXu2QjBpTe0o5MgCdmUSuSc8Pt1C4kxaU3w9F00v4NCOG8ueXgJTp7Ng+5uute4dGaDtI/2iy0CB
uqLbT5o4aK4651pnESfN/Dge2XIJutRRjyVjpMQesTYT0BPeZrZ49zv21CxXey4BtKBme5Jtca8L
vThmXbBjb54taAFcZBW/WUbFZExrZizOHfaEcn63DY3OfYJUYd14geBkdVYFA7kz/OMQc7P2rnJq
G4+kes31uOESmq7IyGSPEFjjU++4zQ1+BB+V2jKGBrOqdYq8Ng1YqO3YXFmtdbJxFwDXLOgj24+K
tPd89vO4A/Dq7ChalEBa23GqBcNaeRbT3QHkeeAAPsmSdBenzWb+v6qTc1y5+inBpL+akgTtMTIV
zO36HeIwF6H78EpMgsX8cQMCbJ2H5kApybWtWwwqB5qWtExYTxMrXfeNouWiQe6qajYnPomuY7hF
T3trTdpXHhfrQgfpyc1mzppz5iFCeMjc702uRTeqBvkFymehawF0UAeFvRF6J9TwIYNlPmlaohuy
AZulsHMsn5ngL+eK/G4yu3ApXHeigsXPXYY0I5ygYtPdomfHUGFsOvKVfIJ/R3xSVi5K0GL1twK2
/NqPZmmRtm8a56APwzpQ/COFwIIQS23aV7WBvlTfuk4T3JFSGS+riBIr5l7/ZlrGZQhaNrndHThq
dRMa7kGbq17A6AQgYjEnbrq/9YYoXU+1ucOL1J4jTq24orPeNZC8AxHeSFN+jRPyGml1y0ETDXfV
8hiIhiaRDU3Yo9OgN8ukCD7s2vZh4IFMMbneV0Wj3pGD0JyLGWBNB9N0rX2LldoN8lvpGd9moDQB
T6bkrmOYzrBsziERU0uLL9upkbuuTp5rNxAvVIABHgz/Vtl6e2Yb3x9zj8o8VckzQ11xStzB3Xsz
QMjsHwyrfMt67J+D+oBUYyENqC8whJl2CLCXURAGR5Mkx1RqR6IqTwCj7W1ch0wVypLFW0/WImEJ
9kZcGM6EZSyJkM7EcNfHl6JjeBPWxDPFKHtXsmTKnhvFKb8XTZPc5ElHzKY9k8HBDqGanbbDSAix
IKiLdWUZBgTv1ANQBiiehyJVn0be5dhK+nBmKeGYhOi3doX3GME6qauMe5CpqZ1wcU6gKll7PZVd
Z5oPZWRuI9PxNtUQbT3ajuVYWJcUUscD1xbg2PpFaSiZUxqmcq2jlPSKz4FlXxe0LiwpmQT27A9a
rUUYmQ+srz5j5CqwmISCGgC5+5601XPZeSeje3dKQVai2Adjlb3YoNvYjvXsX82iY85dTW9GQGfB
jDYglcal3nQD7ZBur8MQPiTWc9jY8d4KCntZgV1ZNvjLhpiOCHjXFIcoII8RRtSINaah1eSWch3V
ak22LP3TMXBWMgzvrDh+AENub5WN0HPAEJE2NDSdAG91pdQ3u6/DFX9O6s6kPGjVrG0t58xL86EP
4CLMzhpTxGtCzr40ajmbTd1an44106FtoTuXQnnnPqAhLLvROEQd+a0ATegPg7aBuhCAKmvU49CY
1J9NEm/7izcZ+U1XFN/7VKyl7PUzFmZ9Ja6oS4vargPPglFpxXIFChZP07ascZYEWXWbeG3xDKXy
NVhJA3Am2yAEsDSZg3LiztA+hY6HzZAzin32ux3AnWrmzXXIUhlK0nRsPTxJAOfLxumX+p48LDYX
I4gwGxNHw4wfFV50iSwKB0vJYMnN+zOxnVe/im8TWRCYzjACjmr1KOm8IXJIl3APbgLBjI0agG2P
oYN3IQGeip2+zLBnQGKrR8efoQIjNgUIANBlaiT548pqRhPXOmALTU82g6ke7fTTrXrzQl+tRWYZ
TSn3QQSAp164twhnj5ZBDHmdf5TCszZ1O0tpWEoyyjyMfKxmVlEwTUlL+sD+bdw3r0Mgn3LLpgXJ
1jdNnKOGHy0AaFrVzEuHgFY19RCISGYUrI0rq35FsoJDHDX+qu+7jxaYz1rP0meEtgPYHy4vvUue
JlKgoOQt/RSX51Cmu6roO7ysVMzBmO6aNr3EtivWqpylVshKQDy3CQuKQUhwHKFboTouNyKPb3rw
UplV+7hj7Meyb1fM91/ZiPwIWkrYqbabjdDHraor0DcDvAmDuYXTWETIRuAkhm/mrG+sK++Hbxef
5iy2cEzotYoeiFCio7UDm4L656uY1EM35RjTaa+UKfxpeDgRhMAvdPpYBVt3Wkjujo7QNgUTR9s0
b4lMK0QVbS2TEt0tXzO0VUtITiUXzZiVb+jkfyBZ3agRFKngHyuUdBd63qOR1NzHwZTfs077kJW5
jzyrOXXDNi+De8cZdhx90dh1rHI/hoGmR8Mane6phP/OWWNpcCMYXARSewQ54y0nbdi4CpNK35Hl
VhJpHo5HNCgYnRlwoXHPaIVBZO5QIhhN/pX1c9unQSrgGl9+Z3x04knBm+sYfmxsBdo7rD2C03vM
3kqTH16CgFa4aPMrYxpW6URAeIwYwPuMs3t8Ca+Jkda0dw5Fz5DWTcd4V2EUpIsECmxgc2BS4w3C
PgG+7RC7VmraQ7IQjHnI4ciTFz+1aTWxZC8A5HwNGhJeI+uTJZL2RycSLyajFwQP5sVOY27eTMnj
EJQptpSQ/Ihx2IKEWRTBEv3MJTSSZVV+Fc4OLjbJ2Cr5QV4jI+WqRUoxOWrtNVbFAJANtgtFn+Z4
uBxrAyh6wh64BRSi2Sb6inx8Eok4dGiYJxrz29DDkqYDZQmQdyOqiz4Yeh2wh2KR14S27DX3R0U+
FQBNfGZBwzOUmmBfHki2x4YEfUi1c0vXdDZx1lOfht+U7d4TD7GZ5jB1vSkvOQqTjuOWjs+UNABY
YBcVV2AcvnLfHzgJJ+Qh7NGhAfYsBjFgNNd7BiJcH/2QFVwq6W98z7yVFUWGrrqD7hHC4EbVZcIq
sol6hHAe1npbK1eiC1l+SaQxUudNWHeoWveZM3wbI+R8BdaLRcRohbl5pUBko/3Yhk61CoIY6KAN
lQI5NTDKBNLfPAhrndkb1yVH3Y0PAYExefzFctoxDl5bDedA3PbGNjSxmuYRcK06ZWNv4H5uw2ll
9ZCrfTZC0PhnHVz3XgOuzXHIcBv3X5Mcj4WDRlgnYWjfBSu2/966aXiLdocVxje+UhGQBVCNz1rL
H7FCOg5g6MmTA/7WQuXMgAp+oTvumj65dVLKxg7FydCPSBIDhrYoulcBtpTjOKQ7h3B66SXMBoxF
XSbglZJWrNnpBcgh5Hc0pFgIo6ZZJSmhViFRPIfCN29tlEJRjyuoMYwPv6TDhZ/3ZEhf2/UT/jPD
ycTKGfP+jjYW8coHFw2hHesfCXPcNgh2dG0IEKYDeTMSVZ4y39l7gbSWhhNa7AsK/k3ywY/Tc1ui
mC1577kcERO1xqthVndj2+vrHE/p7UTsH8yMmzA3pn06WWJtjlDncF83UjwS3txSrof9Zhyqtyqo
s12EvNCuOM8pq98Nn5wCMWv16/zCyLbaT1Hx5gEyxp2eb93Q+8Q2/zKBO41j48cojHHnjLCUJOdB
3yUuI4BpJe3xTukd6DBaBEVlJYfaym78cy1S907vp0OvrOBkYe1aY3RNV6pM20NZWvfwoet7c4b8
jI7idjh1tMl7e94yIy6g6DwWlgfrR5rmxpW5vhZS5AdFFDqYPlp9OSsJ3oNsW1imtR0oU8pMW04B
GpYJHNymDGevPMXTdqhwfHtuP636urNWpa557Kfrg6XnzrbDxbzWON0XhjZXTOZ+RtqR66AfAPkC
m8DsuGwiNPmNKLdA9b0FwuP83Nf4AOs9fzdvqWk6r9MLI5Mej1tmdLsssx5Y9ZnAM+OwTCVuctTL
C9eW0PPAeSU+c6oiJ4/bYAsmEHwtTBigbai/Kt7kuhM0cTUZyYPU0FnpU2KdS7TMflR2q4m6kc/k
HCa1f7Cj5Dmuh31MgPfKyUDCAnYgWiN6TF0Gh0OcvUMy2wxdt03G7D5Csu6G2s5L6UW01lBc3Aq6
khcue5tLG8YUTmqvHzdA1sACD/SwcxO+iz181al5ihWc7Q7ZoPLzaOv76V1fgLATXAcrGbmfMiiP
vRkaMKnTG8so3grw4EuXTjXuPIbfDuoHvZE/HF/vQWYltEOaTSRLB2l4p6+H1gHfWAZfbpI/pBNT
MjUP1Q1KHWvwnr0wevctonAMibrOG7gqchGT79NGKF1Yb4hvAFgW82lCXGcmztKYaBIDJXsVDX0N
RsIdgQXAprrYYqEQp9pgaaPYBumiBE1pm1AnHJjHPhgfejPCJRS+eQGa3SnJYGqG65DApK1DAU+Q
nb3yUd02tkSMP7r2vk9wjddyOImiOkBKRJ2DPrVlZPyfQ8DMf4uII6LRcVzbmIMICQGbQ53/JWuT
rkynXQflOdXUo8d5PJre9DaitF5giz8UJB2dRWx7B2ZVai0n+40yoduNXPx3bEMemlIWL42GUinR
XYbSs8yK5JuDCV+GuwlmFK2hfa+Vgqs8erCUJu7B0tqsyao4GcIESEWUCGb/HBlpRtt4TMzbPKBf
O2ewJ9Bbnq3YKJjkIM0uETAuwny4aGabLwshqx0TrfpSOuuf2bBRgykq0HPGVeaY3PU+irjKG52T
jzdy/Z//eMa/xbY5gprXAfFt6KZt/D0g2uDERo2joZ0zK3sO1nHWftF6+9plWA/qB9y/gJgzqdVY
1kgeSsPb5EhpKTDHvUpAlBgM9NDCBZtEC9mJkZW31Ktop1RCYEYA0UhE5k1cEs4RDzRNjRqh2rIt
ynJVAUy6s9oKw7Qctl5mmgejSAkB7h3mqlngPbqjtkLT695V7VBtXADZ/5f8Nen9W+S3QwNFCEPX
5yBL2/zb2YNmEUSLgVSXNC8cNYUtbws/PMSNFn6zGHvTLwyY62XM5EssMy8qDT/7ekAcFLFdF2lU
0brK2SZpgJHXqKlH1qZ8PCegW3ABBbiqWgttKr3Da4T0BF8Mpeo+JHJmh1G+vgttvug1+DezADGS
kG5zpLJ4M1T+Xqv+BSjzDAas9dWg+grvLpOcVo+fek+i6WvIccsae+WJut1OYyEfG03am1meuA7Q
sC9Mg5urUerFQxoHD+za2fzR5DkaoQAoxdK3iJwy2MO2StnDAOPXICqe7X7hVIR0yPkH2x6WWRmn
4gbR/5xgg4mnTGqYd+BpsgbI0eg34kI/eboZOotipMj7ZcU+eY5m7pg+QA6c2oAedUnxl7n6O9xf
72Ihc/XIRDj54bjPCH/YVZLsZssYPJTAwWthhl9617mbwYWWVaeI7IKZ8J7r5JdfA1nTxEwgLneg
XjRNYruT8qwEtZiC0ARfZfYr7a7xjZUBIHV0iCDw2zYC+O/eDj4wH5AHxTm0GOAAc30fiQQbN/bM
oA9h4OA3kMfrlyG35THzxP2YOuF33hyI8pZV1eif/Lq0V30KC+gasF4VnX8omjciec46CqgdoV/R
ljGO9wZslZJ8RK5aKuQIU73RSy7OdeDo4r0FXbI0K+dkENN6ZgqEHl6vL0zI3VUfWnvkdNZBlhOK
bLvOb8NOR+PTmu9O0TsU9sxixnmgR1v9wxgHuW06Maw66GR3k/oBMfXI+ZkRWpBPJ10PyrVXIRYA
JwjqrajCu6wT36IiSmC7gDcKZ9GCmktn5nvQLSFlnlwb3ZsYGGDWhnpMpmqGTpY1fUjo42BDqu+C
JSSJh3M1KOthGpFCJxohirRcFnoo9Ce7hjk/orleTSHMRcuY6huIZvlt3QGNLnEUr5QTCza5nYVy
H8Ogb/aMVoI+wQ9QJZvr4vdffwm+rv/53zz+UZSjok5q/vbwn49Fxv/+e/6ZP4/560/88xT9UOAF
v5r/eNT2szi/ZZ/13w/6y2/mv/7Hu1u9NW9/eTCnVDTjXfupxvvPuk2b67sgwHs+8v/1xf/1ef0t
j2P5+ftvPwoe5Dzz2x9P33z8/psUlklK8H/962//4+X57f/+G1Lhonz7H37k861ufv/Ntv9hOI7p
ma7UBYa1OQm3/5xf0XTzHzYBlqyiLCk2VjqSLrlJNeHvvznyH9KxCGFBa40z1HF5C3XRzi8Z5j88
3N2eyw+QPwB88rf/897+iC7/+ZH9z1HmOkjJv+RpWkSQ0lY2DUsQIi5MQjX/Wg6kgV/obBqcFYAt
WJNuiIcAYEt2mMSUHdp0Smnui9X1qZ+vXl/4l2/DCXFkjWMNbbpyj+kYoMegLLuktS92Px9eXzFD
7p2oagV2/SFDX5Sh0L++gsrYPV5fgC050A6aj3Hzyr0xnGDXplqzCYEsLKB51Xdi/lJiPWRmNYS7
68PrC9fnjAqFqcpNdacNNO5CLEFrtgSMzHzkZ51Im/uijIZLDkfn+ojo6ubemLCfG3kYrXxKpyUX
u7YBuuDcsfhmS5YfZ2ulbQNxNRVPpkQUq82vIg1w7nLvgnLVpb3PM51NlLXpFYfrSz8PcrCekH4z
Lq4PZ79iS0rSEV+6OgWoDdx4ImBTw5i5CiXTp5+P7WHcsDvQjk4zzoGMw9jvEocJo60KOpdFEns7
aVEgEvnmN6dIFZS1nUduxAzVUF6u3Q0m/R6R6mdjZmuovqX1BdT3+tr1qNLAZKbXNYvXfPzPn+w7
IifqhCzm+DjBEXpu4H5sLQ0O6vUh73HCkVKOu+tDMdkk32T9Hwe3wXifFkF1e31RBm+DZWdPcOnc
e2c0N9dnNaZjZzVa373oWOdJ7CwkPZWLFcFoQ4lQba8Pf31xMPR6Zh2ffj3Vmsac+aCOwklpxZem
ffYl4GfRPdQwbyOZPNgshA9wS1gl074lmzbvHuKsiU9xLZ7DrkX97Rjuq+Gbw/F6bDYUBIbWxbQe
rOpjtMl4meZ7RD4pyFLzd7++2NiljpVykf9UffPRzwe783N/O8SnzXpwgN2W4AgVsOMuko+d5tsf
KnQO3Dbsl4qG00qTnTq1IPYPrhtZK0rzjQVEdUtcgQRnQIbxqDbs2cQ9MnJ5P0N4tyLL8HT8+Zy0
/AcFoeZ4fcqzdPswYf4KQ1i9dS9tcAaBQv7nNqV7Y4r2IvO23MnKVcdhnrKapFk9F6h4fwRcguwE
wTsUbEN/fvfruV/fza8GJbMlO2g5Tu+9fRVmZ/xj3Ij7HqVrN1k/nzOuyAVu+xu/dZw5H+IPVkaY
4cpPavn1C5rRuj3Wzl+P/zwkngkb0rC7beGwb7p+olWCs57K29wM84cPC4/Nbedg6+Hjvp4PzJ0j
siZCcbg+bDUDsaSLWPJ6SGGmhwlgwpqS2bsMFOVL4aUVPigLKX7rfGiKkKMe1P1d1YdkGY7V20g5
xhucgQ357Liswy44DRJAF58uUFtN7dkZOTWEGGtPU0RertwhwUmAAom91PVhUmYD1mZbLhMokAu3
Db6Y5RlnYF+5mzVnzNfm+frM9cuU0KniPCM+dH6BjppLHo4NX31Go1y/TESS/vzu+hBzBK5ylSHR
+/OQX8elLnRI8ln6VTK2j0q4+pMjo+IyP6r60ngyqgbhE4+6qnGIqEOQYVWDubb5k2OD1cwHo2CU
jYEPZHKfKsZN/b0Qjb4uJqdG5m0dmiFjvEoUMTgB3QTl6wbniqDHI2C0vRg89KVGzKaHp+KdMu3w
YWoq4+zw6nh91R9R+0YRjRlOiWTb9LSJTjiM20PUPhnUVpZS+njwMoCNADN+UrGsrLaXNYECWyqr
5udzcS6XEXSlW79yknPhubsrBERxuvbzOXp9VGgpPoX5uXI+l+2uJP66ax/C+YSO5y9/vnY9vp83
on/+nuvP/Hrqz+cNdUiQ0B2v/764qao52JIlr0/55zMAesCUkv6EaAASrG4ifHygjKrqHJWoH/HD
AVxv7cFb96yYrxWNr4s1g4siLZ2FyeATfj13/Q5e5FaNkTz+ej4FnLQ28PAtKTto6nfVRs2Vtw8V
+yBHg5SRX4+v39lu6h8S+em2KYykzu8uWoWep3eH8UUUg7Wu6JjsSuWaDA2YBPh1KDn/G3NXxVP3
OGZ2uS3QZtKey7rHzk6HI0EC5DvMr6pkLB+m8vH6msHycyum5NzOvzuxaOKxkesxzDT9S7S4PmvK
6DPxZQLyNA5HaHxcdr++XC9F34/1I764X5ekQiTBxPTPY21Ezytm2PukMRBPIGd6odiax1GJPGGE
GJ+g/iDQMNgHqbjHdDXj3eeHfzvMmg8b0nu7TM6SOOBiGdt71UOeqbQofY314IGO7HMH7+c4ImK+
b3xZ3VoOwQKdSu6vT3VWU84bzRGrN0dcXwgIUqcnUBSbX8/9//4iTPA57V9j+t+Enddy28rWdV/l
fwFUIYdbMWeKkizZNyhH5Jzx9N/ops+Wt/b5z74wCmiALokige615hyTDF2/17y920/qrSl742FI
/HJHqop6Q7FtXBTmHsVg0v5JdUUllRemorxYTNxuGPK3Eeybs9206qor7CT+5VejNh1spDdWUzaP
RQ9qi5I/cg0rRntRavU/j4u4I6nZbWijoIJFgFRpT2GNwIYluk3ZN/I/Z1N9AEXn/2zyfu81ffZF
zWfyzFW7uPrgPXE3pmcdRTIdH+I2hMTlQtfCv2DhWrpV/skoSofY52ww9/QNkWLJ3V4cq8wFyePJ
3O00ix58D/u119HEejz23BRAY2jO9VEeyz25ibnv4HqPS6YVdYMVD3fRIXcrfr2hRXzYNoeBMhB5
X2LXcPTmIPewF/15KMfka90m6BcgD1EbTwDmKZFqhwA1/U+xE4mdQJ3vO2JkwCH2FTGf+IGHzjl1
MP6Ia0unHcJ7PlyV6RyjTH1JJH9Ano2bdqIrABpDnkXfY3XhOXc0CwV1bgwnuSmnKNgVWvb4PiT3
4AlB+tZGqh4tzHX58I46/VjqdXoYNCh+q6Ew956+q3rf30prvdxQ+PrttH833iMpXWB5VG9GZFdn
Wze+6L2tvxBBUp/jwv5iYRV4iWePZEI3gb4lnj2hEb6RkI1Ny+zvR3TYmLlCRHhSw/GQZKOnPqqh
avU3cFYXPTDboygYLNLem74kQfo22q52Y0bcHvsg5gkgmA24nZaBl+OmoqCL8rEci01Uh9/ViBSy
wFYQBopPbpfMzMU5lOQre0aA2ZAVsXx/xhekQW36MP8ibyfv4+93Gzn298s6y8hW8ndsLGpRXTwm
q0b8trFnVJuaot+qC92vXhVACIsUzJPMa18LTO5wmxGBtX5lvDo5MNAoStMT5SfzdQzwlwEm0GvD
f/Zc+7MX+tqTSJLeUdEI1qRZtl98/auEidg2UlA1cMwDjAbCzBq3ts+m4McoNJNR/cQxluR5wLHf
fWmHKvtudPNn3yAO/MMFKGq+pKFpX8LWQ3VcqssY8EvwMFb0zxKEBMwTic+VezNjoTwrrisqB1YW
HwnD1VLirdfvcAbJJXw/tBKftL2J6llWqVeUKZTNRbXPqbX6sS/1q2fXGZDIIr8QqHIN7YSAA1E8
kRuijEj8SRSImwyh9U0JcGiHTVgQlVfodDfITRZaqv+8Ss5hxCLRCYffr0r0MV1WoquHycvpb/OM
fcki9rWpoT4v2qE5o4Cczqkg9HgltrqsomvaEjG8uT+e2sz2jwMKsAcdYA4mi9x4aYrefaCHHx3k
9wAYMuFfMEcP8oswWuWzH9HSSZRurdQ2LYq0bC4hCUrfmUNDnp68gtKUB6Bcs7JrpCf51VaLFCfM
szxQOrNYhnXvr4MyoL3N01WQf/UXpcF33s/OuJffMXlWwdtC6BUB4407QcxBOEqXXEjtsPMk6kYe
zw5OVNadJeLYFLLlUFc70yXcz2jV6CmCXEuwhWH/6P3PSamD4o2cbO+oebgfXThWtpwPMpeNOpLT
0MdZT8kANrndGh2wPgOp4tFlZGlYUfo5T5Md87r6B7Kun1kRms9tXQbEZM7WDklmd+XviVmBPMgf
6DeUsv4RO36ycOZpvgZjq+0KSxGpTeb4PIX2LzO0461BfQs7AtHoh7qqm0sVIQKZG0/wpHpuZh66
gvsxrc4lT7hTNdjtKe2m+DJkXrRwIDp8m/3gXEy6/ZLbTUObv0o3qhmGb5GRr9MSzKLrlskB+4H1
FNrnzNQsHpsc4DshBcaL9a0852lIzu7Pzhz2xrO2jwbX+ZrXRrPCWozSq2n72ygiBAqjCb8FDa1A
rBHpzUcL/aABT9jRnp5XQFNyHFlQlarWzc8Suir3FLWbV3R2yJcXJ5TErQ6WHfC0wd9zrLphFTkN
TbDea3eFDUcvdEd/nSP1ggHE7KtVJ9ItLNRbgjplNdUv0VXgb8SQ5RPnZJApaicdog+LwGjcSYu2
beyrNxjeea6DV9tJLjjd7R9arF17njqvfDKLla1k47HRO/OYj0q8CjEZM4UngBkJfF7YAK7k2+X0
r/NQ5WhZefMyusBrlK3Zylb9nS/Me8CPH9JZN15puXHXr+G20rskENAlLrtqWo0c0NJ4dUv112QO
2Y6vApxzF9oxAIlgEdc03DbMQP3VoGVIXhw7YNaX4oQcNND9RYsWO3fc9AJfSTkodQfLA4X6FxM8
B5+k7PuHKzqjUJbIwYZD5/UBs5KY2osSO7dQJ7oiMkCFgTcyrjB1CHWfre67PjwyR1lNQYZ5LWy1
8hx7RXt1E2Dtxuie5NGA1vMaZg05lR4Bu1E8k9FREep3CpNuk3qOBRNuoNWqjj0rMnF1YQXOvutm
e6vQtmKvWN1pURDoce5g8brToyRHqozRuKheCeRdYKXkGD0VdcHtKt41zfS51UPWVbltr5Hmujt6
/NqV+MJoEbpe/GPEShyHwffUR5jpwOe9WJaSHPIIrEowoKWCETgdo0h5nvGjBg9Q810v5SGRpMXZ
NGr3Cw4wB6JYGz+bUVQh56/qs1VZ1lYpE3UHF786KT3C23ka6e0jxpFtC7lxy744Rfy+IyIcbB0U
dhp4e38N+mKXyOB2bdsN/hJcTdbwlofZcHAzlhQwz6c3eUr30RHEXcQs/0GjSfQGe+H3RXI0MEFA
oX/PG5jq97kPXlxYXKCb/vVYLhPRg9Gpc9vLOLufKloEFzt0lU9kI1alM37StRmKqFrcaotQ4qQt
o0PWTOXCFBdppqOvLQiZa4HIP4YjgFQT9SmdALVa3pfFSegs9Cmbr7YBelGexccJ4F4umsVZjWIb
kJaiSr7mAxgwAT+yFNrkSo6o/wP8qPo7GskwgpKAsr8GDecpSWHlB0yQbqozkVYEef1poDZ135Nj
72flXqMb8SKz+6/V1syG4iILQLIyhCuS+/F9VA4g9nc2g4oM0B606VrhCjiTOrxoRZFt1UwjTOSa
JCLFr+i3GcA/sBQhu1IKahBeyowi6fR6ZYjHDM2s+ayb5Rm8AA9swxpeApx4J9ljeb9WvhQSviqv
DclLWkV2ijcyLnuoX2wUHzZQMTo97ULLQUUEshUwAIPy9PuFXqoD1Mt6FiCVH0S4e1rnRMqqA5ds
UrbG0MOV5Oh9XFeM31cA3UDx3w/EmnqvevfTtnQebIHI7NZ9tP9O0uc33bXzm+stK1BWjzNGlVs9
CLSn2RLTV+LvXwBlb1BPYah+fwH33HNQTvlJDrVQLM6Eoe6bEinToNIc6lTFdekbF69BEbb7eCo5
dGt9XAbdiLu4iJayC9Vl4q022z8P5dkkggdWsK5c5HY5nkbPxeNlePbStBQ8eWLTmLO+sQyUNlpt
VTfAUSvdC4wXeZSS1gMJ548jeqz6/VyVO/crC9fdpW4zn3nsPNHBpaYhajoGbbwTBhyqgf+p+vRk
Cq4MtQI7apK/EjYlPkPfO5CbUz4VUfMM6lo98EkBuF0atC1pQ8+HudzQ/CiSJf0zPHJ0ekmoGsOL
NSNclx8hyx/e7I57sJwuAoqaFxbJCn7iDhtrKMHSwIdr/Wx40RGiH21cIgsK1tXnoOUxFfbjeKom
233KDOfQFYT21G1P8JEDRFqSpHvdt0+QbCRbukr14pwjv0IS3yfMR+y3eszLV95l96RrZKskmV28
KpkabMcqLFeROKxp/i9SdKB7eXZyx6faAPUcpll+VO2qPFQJ8mPuJ9lz1GXDk21uCmqHpEcBOCQh
yayOoThpay9Rd+qYmOT7Qs+S46AesniyS+7e8M3cXiM8rOl/kAB5arTIupVkXIDFDXCWir+da5lo
1uSh1RovltH/PtTE3/n9LN6rPw/lWXmxxYfiQR4SXOHyEFaCxWDZ2Btyf5z3ZEVXM0nAW3/lo9pW
nYBchZL437TviWTV+uRJqLlrsfJ7Hy/UOHkS1ydipag3AGMrPSQ9yUjdRVkW1qfOUY+dOg+PStRm
n6aSMohmferRlF9JSL3Z4shlmXUICLh9kC/hQWZuAuyZK3k21nxjSSspXutdjnJaoL3rwQQPGiMW
jVMXdc88cCuHbh/tWeapNygkAP8aY1uSWn+TQykgMBQiik7kjXjF4Dl0g0LtPDrPqagN00fga603
1AtdYlTFkNxkCO2JJA+IvU4zh59fXMcf3ryfru3o/oqP4zU/P5AOzABOO+LnC7Rl5SP7XMjjAvPz
EnYGzw8NyD0CyYy7s/ck34BJ6To+VwK6IN6eJPemjakgUZBn45lqtRnUOL/F2dkUlZ/GIrFSvN91
VhyUBO+iEOvdf0RK18sxCuujJqrb779ZV7rWKjfacvF+wtJnmoEo3JZjotZHefF9rBFXj8mJLA43
ZvLUx252lZuJtK1rjqykxo7ENOY/47yg3GghPXc51kXj7xfYHhFReZEeAzMed93sgT3v0XGS4IC2
k4LgK0UYEL6OPWzNpnReQVQ8a00YPAZkPz0Bg9g60MQtkktb28gPKv2FDY7Pg42QCYcOG7n3vpGX
oX7684Qce79Env0wJg8nQ3/2J759lpgRFBNm7kShlavK6qRruuvBm6bL+9nRRNMWoQ+7uG5Q2We1
N3ZqDxNRbhQydO978pDl2HSQY4YHc6rWm+19PJmZKeAt8PalR/kork8wJ+pTUxXk/fZ6t3Ew9ezl
mDz7vpFjuHfUBUpPbKXite//wfuhEoOj6OP4mZiplEcjzxH8uPt57LSLqPVcq8liHm3H1gIkFxhN
cShP4KcdDloSX/1cvChv4y8G0K+9RSOxh6CBS4HgmTFz3DeCm4ALAV9tLOK2yjKzjkEW2RdnRj8i
GcA9BGzRag0iSNnI6zH52h6LisAsuyXlpmwZZB6rabTZ9UEHhJB4CHY3pJET69FEzoNp+9ah16sH
py/JJ8VE0G2aoVZ+H0dmQ8O837mWSC9NwsJe02VWwHWy2GvFRu6FakBWZ4BFirpDQWmNmA15Qu4N
TUZBBkPVXs5vtNKkuYxDF98SFRG3ZTbQNT3EYzFvCmo8KM1kLeoIqAEa1/Qa6p53ncviOwDS8nOc
Q0HXMhsGuzgcOu7Erv3mJU6/G5QJsjI3w0PF7wQOS+w6KWECBConxMY2wWNrZ94VBeC9yvHXkSpK
gVM8eVc1CO8FEXlOHMlqyV9XyurIIK7863/5++syb+Zj6ejDqkScXbajibUnN48qsT1MJsWuHMzF
mY5v6rLrsxRh2n8uHJuSC+Xx+4W2UX4CCGVv/vi/fFt7vDdIM5+UBCFbaw13OoOLwmfQwyyVY3Jj
irO8z+ASzTc5YsAd0x/k7pC72LJphD00q+6YVfrajQL7hzoM39GWNy9ViHIvmwo8IUE4nDEaZlgC
SBhIEhtj6OBBViFPmcYX6fHhwiOcccsNGoIhfZ19JjZyT25IJ/T2vpoT0/h+PFqhv/+vZ97/i9HW
yI97P5Z7Qedg/0yMbdea6rGlx35UTIdQSLk7mp16rAv3lTAgkjTFJQQp8Fj9ayOvkNfKMXGt342/
r7UjyDAs7HgFesLkWM9k1qr5EaDDtRFqDpk9IIcsr7nKIzn+11UlK6C9XwQK0ZKm0APIcA83TVjt
koW8lC0z2RCTJ7zC+RQ6REHMULz5eg6BtbpX8CorH3ezrIBbM+6irLOqB1lEknD9VpSTtExFqK8U
41KeKK2UZveEjH4JExM7nrhGXu2L3n4fzKu8G8IXIGVF++wVI81MyP3kAKr6QMvR96jwVHG7jDTl
kMmSfYQO98TtDkGwCYrZKyAlxaQfoXUVg1RFxpPlVZ9sxyhTb6Nor6roPehikwfEeECgpGfhiP6E
3Mgz8ho7b+lcyF0oec6A69VSDBfYJeLpboi/ozMfrex76dRE3FrWdDIx1C9M1/8lectpr7LIjoll
lCRmOSb3xrHMtyrsPio3A9VqMcnry/Zaut1JFxNCXxzlHMlz9UwBQ5zL9JmEPsVUV2ofgaTAmPyc
Q2HZcM+0DnIDawwoPaIPj8We2Wwsta8fm0nBhlYM+KrkpAUpZr0OyGnL+4x5WKG9eKX1dZBqC73d
YCRJvug2UlqT+Jc9WtD0wSi1l9Ij68Se0+QGxq1cWwQ1LuWY3BCUPT/MYVjs3sdGJlsG0sGryyPW
w+1LwGKyQehLScGoqY+a5mOtav6Vhu5bQ+jrcXKFy4V8KttR+ucxMdVHRQUAIqbvOlX8PeKlfiHn
+jRjCV8yiob4jKZ4bVX6JIJppCmBBR3DwW8vy881QTdHz0R8Imp2cgjBwtZVyEkLG6PbaKhJ7XOl
RtFqFsskzzFfwYVER7losqIxQWsw7eWCSg7ZwwhuOoryiz4qxSKI++K7U32SdT1bxYVqVZ1ya/NA
WTpy0uDxfdsbkcbfzIiYNhshbCL598qmxj6AK/GatcJSfDFSrWKdGth7zyjtvdyTm4myLlQyceZ9
8+EaTCLKGhDV1RgHgT/8L//Nf/2/3v8bTEqYgMisQj5Bf9DCb5b0h9HR+4NTKazfG2y0h05s5Blt
Nuqt55O7SUmlfJBj8uzAjPPBpna9YjpSsLjOeebHLQRhUX5yxEaeuJ8VhyMcy33j25s/xonnwrYJ
zE0GAlg9QGPcCFAcHbKeZCyAPCE3tIP50pM3cj+LQ/5B9wxEoFaFpmvSddoFY7zRBuZAUNXmTxlq
Ncpb4ODlJYvfZ/QEYzsJSvKMUlg3ddLNyxw5C7lc8nl6I9yA46MNpspn8v8zLjz1Zdx/NsuN/PH6
AINKqUyEDLnD6f7Dyl35a8izOWfvv6M6xcSX1bVGyzgwQ22pjxo/Qz70BDQSyH4/bAOLDyAnMKrz
sbe9iKzx/4zJE9U4nOIADMX7uFe56jILZqKP+2Jem2P3nZw0/9BiYABkJXblsdyTG6v0mL5kuwiJ
4ClQ0pOgMO5DAftnGTid5R71+g4OoXdM5oZnuByTG69AXo0LFcflYExn+EyHP3Skv7Wa/y/vMtY4
edsgNdWND9JMS7NsXXUtVbdtHTq2+ndpZjzM/hDTRyPlWE8PzqyGizgZyteknzCohoG2Ns2ofI2m
wYdCEYbky2vW4+T3g7+edeszbqhvvFP+zwJ/9uQDEIpGRPso6rOnCEkot8rpGcUGdSadWmVtEs8h
m6aFj28IBmd1sSesWfDrqnvTLvHA+NnmAM7IMHle4yQjvaa0ED+UycYxBvNXooA9Qa79NYawTY/G
n25J2mprr3W0rTXG2YpwpPHejE5l1lvezsWBIvgyFA+2ezc6iJ/BuNLQslzVWA+m9VxiFtqPqZJd
pXHEFryTZsq/zlOwcz3LuoUVRkip7pb5AnXVvfJJqx7HkaifvyYXZRaY6yQIQqixTFia0cYGR3hf
kVnXSe8autzs5ara4LZmbxBj9z3P3Ha19tOefMtZBr7THuq53Fpike1izlp1ps86BivoYgioWumi
85f8/TD1tD/Plhaph/Jiltf6i3ztPINdDVzws1NSfRtsF5KW2XyjgtR9HRiRO2IkVymW07uGM8IE
MtXU+Ej0eP8UmLj1glkQQ5AQlwuYYl45Ttz9Q06K8f/9ORV66LJAtlvkQiGNQ46PqanyeTHQN5uW
/cESUuRl4meVomGdF5+8qkT/tsrVWwQWGFNpHm4rGzzBUDRIKUGIrvUx1B+zzNAXyuiGb6WmfqNQ
2P0cBKphcr8ZxDNoCSjdzFHys9wDerWEfw79m7pNFyXe0umgwd41eEoMZFCZy3ZTafOh9/ivtL4/
T0mrv1EVHJY5qtdzbrnzPrBIUQjt3njyKjIxgyrpfmLdSiGf/8vX1/i7U4a3hbfC0TRPZQ2twbn7
IKzOx7nkl8fBlmjuUisDRISGTYlVE74nmEGvuja0+6CeLtD3MbPQI7ywGM3MB26PX0svo+cnxuQm
ZHZ7yWPIPF4Zqsv3EyP49V3TgweCLqEXe28miFDTCvUyGXzuR6jzLAMpXZhQLSYcFwsltrNzbvYe
Ohr2lMH7vZc3aXa3DPzNMfDnPcz6xy0MS7gJJ9lyVAtNpeb+/RbWR6HvY+WDukmmD1OTMdvxDQSZ
gK38RXPLDKMfBr420/WXlB/n49lASZxFOrsvSMT8HcVb/3GoRnU9QU9bykO5aQICiRC4Txs0K/6j
HAPodPOtoT+6swovV1cUIlPjDZ2D6G0eyeOmYB7tnLKInhO9+0zRt//mJ2Bn4NXnt46AVpCBJhx4
HC8Xan/PNp7upV8X9lbOZWVJXB7Kyez7WVncfD/kR4h2//srp2vWx+8cSDoXFQa0MQ8JtvPhfWUx
6Ka5X+BXhQDixYl+ccQmKC2NLIlMJyPXazbvJ1riFpF8ABqiDXZOIqV5khvWGqAHwWvvEeS3TyFB
HztkUw568EotEauaa8Mt/UvCZOVgpuY3+m/txXUWQ68rZz2Ao9TWjrd18tG69Gq+gyAuVMhsirZ9
gTyhnqiK+k+xGnQrOF9w7YfaOwWD80vPWhfAfB4/hkRSbfgHRj5V0U+pQ7ahTOBcbbiCKImy8XVw
zR+TopAJ4WJK7Ppm3mVB97Ul2ePSTLF1kXs2ndAHZock7TpGdDBxKa6Soe4/E0C0CuM5+075Bjs6
DLsA5Px5JMTkknbY1ozW8b+ECSRdzQwU3IhuderDGGmqOJGb0WsfOumTbanDge87Kr2g9b+grziw
us6Q54yf2yoHB0CVZevoRXMcVRd66GAnp1BLm01Z2v5pMHt7nWPnXXaGEUJnCqsNK2Jc8rkXvHow
wBbVSAqUPGy8kN9Pry+9OIkVFUZO/ClvBvcKTsi7SC0J7lP/IujG8oieznQMVaQYUyA6OggTp4Ko
xmDs8BXRGY7bK+9Re20VA/i93cZLPMSgd8MkTFedkTI7K5RHVl3Fk9y4cFIfIrtQ956blk+Op7T7
HN34Q2i0BZOIGgyPgxhJ5RG9d8kHwrI7FJu0j7CYpbjanITiktv40Q+NLzu2N/ctbpNsVfvpkmg/
50nTzackNpNL9pRrs3JW0/BTI+4OTG2Uc9zHn4hV4AjisTwHnuxzxbfakotYz/P6nW2xupeH1gwJ
aqUNGm6/IHzDG1ARQwTYT1fyaGcP7rwtKA4Bz+D2YYQGKiqzKHbApGm4oJVuSUuzs5K6XsciFNxg
65oJRDP8InZTTVegEmGG3jnVIucK+Ny5znP/ZEHFpi/nH2VpKw/iH7GX5LvAAyItOn/v/T7LSbNF
5/g4/bVMOeDjm4FQK/PCIx1o57E0PGn1FKyL2M1vWc99s7cV8xWea/Bgj2b4YwKM4yDY+v6/byg4
kf5xQ2GS5JiagbuTKp/14YYyR3bSDepUL4o+AmGhGcB5w7FUHxq/jc5yo9aNuTcVAyAmQ9zGwwOV
lHAHHLH4VGXlMq/z9qksJuUFIUtAt2OlzOAGvXJ+jFm2vLnxVG8NcsRX90Obu4flicppuZzS0dkq
Leo3p4ueXTVTroiKvSd1AgOCM/Fp8sKT2UTBfhi9bpuBXYLUaIdA/gftOYaGgaKfSPbMaD4jsf/R
qmr6PdDcA6VTcOxEkqA1DMiViMvPtiWsiEqlw9/JskVAeH2yJuzyM09fH2VNH2xceCTkMow+OY7M
7qk8N51a03G5l6l1F5U4EoX7YNtFh8j1nS2VWMAYtds6D6MBIjVp6vDyvgEnc6Fc1fANGtMTouNN
XaKKVyJfP7ZZOq29qcseZ4OkDmasHtUAZwJrWGWn943nzdkJ4ZSiHSpsrd8mkuMWMSnKy44433VK
2BvsekhrB7kp3QghWq2w4C1V+5hg4r5v5CGYcQTdplCZRpm5VlqDt9IIyZLwg2E7uJX2DFyDOA3F
UpYglGiKO+aVNl4JLLRrl3PsLv/3BxF8/8cPoq0amukxdTINXfP0D7PJvveswY7zYvGWjlN4msuh
fzXRfGRZ2700uH2v3Vi+yuEs8x2YdtN1jAaIH2K+nfc8jOShq1c8ThKNyVLgHGF9+z9bP9m1WjoT
CWfOGA+a6TrMfJhm1Iu7wB/Ni24BUU1nxV7lM57ZhEhckSoelDu8c1stMD8rvaHamzDKp6PU30jJ
joYwZOFPrreWMh5uJzQGLC1YBckGVaQbo42MSRsJoJ+iJjSNdV4qwUEXmbSEmISHeTQyUDdBy19Q
oQMRG8nnToun73zTjrE/qL/aRgHXE3h8gJ+SvkGIT0ot2ewBdwbgLnykxN3B1D4VGNuOJXeRB2/y
jBt+p1VM1OXlfhQo6jZRQecXQ2negNqRw64U8Ags+2i0EKDlZqwTa5c2+RYIUbNS+47ojjjdpsxy
V05LEm3tm4QmCE+yHoXqxlNjDbQFh9BUVnZom4Qn5isj7p2XHCQx0Gcs8zLdNUT/i41Ps08qk29c
GmLm6mT0IkpKhdcC6w/QVEv9TJwyd4ZBjw9qBhep81MdLGO5bEj2+GHEZFGNIy4TK26Gbb+VygHu
NQm//YshSo02UAkCsF64naRQ+3RWoOjJ90bgtKsEX/NXS3/WfLP7llbNyQv1U0EFCifI/Go0WrN2
uc3sjDozH8sCnI9TTMktmbWr49fxwRIbuSc3AQnq21kwkHyVcR3JMXPuW1ZC68Ws5zyCPiF7528V
CL79QEucjnVtWx1AKVWHoU2qgzyUe17gfKmqpH61ApJSleBnPDt7Qi0evalUL4qC4K4udB5bI9/e
wqn2TdBVh9njP6m8ElTR5BFkguiNYF8C58MlxrZmkQ0Bgw4eiLrNV1U6aBt/5PdZIacGWloQTNJb
Q7xx0p6p1H3bk4G6c2v7kpCjt7N1PbqElo9npuvhBNODf40y/txIrYpt2cLV6qbhh1WG9QVcSPmp
QFQe9f3Bxj5ycIvUWIQAVM8IufVjoiEa3v7LPUTURf62IKVgbxkG5UwVKJ/pfVh5ReRABmGMFtIN
lJ8h0cynAa/BaczgBhdxC9JNjIWDRmd+EmdMXUVJBYSALIZj6RB74ar1ozkWxrDW2gn21JxSGCUc
deuBMkUDYfzbjY/7xT9+ak3VCFp3NVc3wM19eALjcSVwLMVtqjdkgFlmfyudGbyPmNcTpahfsirs
L/13OUCvujmQyXQtvdl9GufrkHr2TR5EPEQWhKxmOxtZyFNKMMbOpaO0kGd7Hqg3b3ilscHD3k3c
7oFVG1VZUw8uM2a0I7kkZ2ALwRFSgeI/mD4JW5b7uXfnaBvjYngmvYUU4TmiBWoo4W1MKl5PGKPy
UDrdp1QZSpqQD2oTApLMUvsFzabz1jlQ8FGoTI+GUnjrofXwkLk0Nl8Uz/w6CgdM4GNBjXZRpMY3
owKfT026YzLnNjc0nd+mCpmCDb8IxlXHhBt3wAPQAFCJXYkE0sfcq9fqWQ7JjV7meyVo6q1fdTmr
b/7qZJ5M8FaRJBL52tMPtJrxWz6b5oPsNWYD71WgdpCHRT2GoCVopJQJF/eptkpJvqMNQ4L3sJvQ
wGCr7IaXeeheyZCwv6ux8jRjRftkhCTBmKXW7VnK0ChtA6B/IWDibV+no/0AZE69dGWyT0sr+jdE
CbbxD59+T6N347Lg5nNrf1waRiDp1ZhgTfIsXH1TZXV0kRvPglDo2QnCVZugEYuUiYscm3CfdfAR
HrhJc6ujc+Ae77vkp4LBbstHOVajKj7Cw0BXRJy1v+MR3iOz7+Jl3ygW1BvPvKi4WmHzzvEXLTvH
pLXsISbo+znUCmMhj3XaPPv//YXX/llmEIUWQgd0Qzds1ftYgsIxNgSOyPBgwQ74pFZJpZiR1R78
pvi9KWsHhldvTUufD/fKIFF3Gzh99Jb09mkKh+g08xle5vR3heidRoBv5FC8KUotNKxdlzSgNwRE
PV5ECjeWZZe09T6a9AsZJEFFaocHhITYjWk1xJ4Lgt2tnxIF1w/u4XkbkLWB7xfUSCNQI74zW+t0
xKJAuAwYnCmC1mmTkexPenYNoS5dm7lPzzYcUxBBX0roGQ+zZdS3plMgZ/21N+RVt5sS68fAF/VU
VcBnqqkcP3nWNO4jIfVnCTl+suA9LJnYRqe70ZG2xXLQnQHaVwSfjpsovbaxYDm4rH+xXCWoS0+C
J0tvlNsc1F9yq8qPum4qN90ZawA/JksneSg2RT08a8FOqQOUQlVl7uSSjYfOpTTycY+yzD7mJVpd
wMYkE/sTqYsl5GebmNWt7Mb2BGqfhrlYjn2VrEqH0F/NTq1XpW8/qZC2sZk41eq9l/yhtaxD1t1T
qV8RJeh9RdxxTUI9+UV2x6JMhH40DPcmXD5SmPlbhFggSJwi8mlwDOOqkK25Qt+YwkpTJ2Z5Fs9A
obgYIpE1AcJ2JdUVHxQX8iypnDqSrhobkt07yt5xSlCDSS5olr2bEOeTNicl7JuT3JMb18GKWo/t
4X28yagA4jq2ltDpMWbDLb2EIz42NScnGs+bZaGecv8FBeX941bhmDrqS9oHVIIJLBTn/0BBYe1w
zWkeUxiQsaY/NEX8U8IdRol+EBAIiX2Qh+XE0mQgycawC7h8YTlfRj+dmIBVaORG541kU+a/paOs
5aFj6Jdex5ClJV5PzCxonZzHxTkyrF/M4PVLpOKrA0PjbkiDNG1yhzJW9b67UowheG1bpvR2NceP
NELt9VRX4xrXbr4vO0q7QZT2Z92oHx2LPBV5JMcR4dIJy+B5S8m4NyMbi+vav9NvPmjJtQR5d6tS
zPAdZ7gNc6SfOkgKplG0qwqmygYwZEgYtB9YG6vU3kKV3GENj+Yprf3vWF6IJCcK5plco++pJ7KY
BU8I24W7aFEzbuXJuTf9tdpOzlI5kL/k7sdAcfY4aIb8QR5Td0vXlZOTe8JZfOPF0rINvvZC23MX
FdndQL643qiorjC2yXRpJ0/fOlX9t3mInBz9OXnCI8dN1DT4+9B4sj6WrSmZkDQDP5aEPLRBvpb5
IOxyf01ZrLiZgZbf+kgBIF8n51kMDZqXHRTy6Alz3M9CZCeS1ZgjwWBd1DqphanFwrmdG33fugJt
nhqPQD/qpwaDzAp1brRWxaGRxsSDZ/9H2Jktx61r2faLGMEWJF+z75WZ6iy9MGTZZt/3/Po7CO1T
2uVbUfWCQ4Apn21ZIoG15hyzuoOXrkO9OmdDRo7maBvBRZ2HOsdSkHI63LIXoZibmYKSieNexyb/
kSatfZAzFYn8tR7NglhmNdqaNa9zu+Pp8W2ZwXTv7qjWvUgrTZiDK2tbpH1t2Ztbfey7L1ltKSyD
X2tOV7JNPzn5zcF9fBO2uPpTpf7jI/GFPuy90OlPoakGj0mfv6PZJ5J3ngE8RO5Z48WQUwof1t52
NQFEf9hXvZs+ySHhwJ4hOCr911pLgo1XjAh5yrHE5C1G/BkcFua6AAWQ4aJYmYY1l+704FTxWS+I
gkvb8g7DY91LS+vIw+P/2FeIef/59w+GINRIo5vxP1SIfDozLceMGVycPMHoeis9ou4kbQt0Ybas
c60jHhoXg29Ovx0t+plnbvFStRqSUA0HEIIlcRysPNh0TRk8U+o99Ya7nzSteAUHLZZNFWs3pVbq
TRI4gs9HYlUqxd3zG+3FqYmREVH+yMnZJksjX2i2or4MXhWe4rS1r05n+xd3RFMhPbFKzzY4GzN1
18+eWDsNtU2la38SXKgLnPfKy0Tw6n6yymbVN5rygunjPOlwnNwp6I9FFAV3KtUkHiba9JGqvK6U
Pn62+rx6HorfOdW0H4AQKNJMzaPGX34VCc3bVnOx8nsqX4Ry2latt8UFGvz+PzY/pvH3eUfgcjJV
aH4WQEt+Jv8677SxXaY2KTnL2kFGBF23IzaEdBc4IBc5tAJwKvjFafu9Jq8CDRo0bDmTZ3/xny+x
SrO6mOq/PlvoundRvcwHBcnv1VSYf8ZQtXb21EQA29AnsV0Ik52PBQFOQlcD/jBhlTc4KVHdsAgQ
PNlOsacuVPIQL80MGo1TGDNyqlDAvsirXA+NPbTyp4pyirGgufXPjVqn1GMT5tDIG1Cu3VVGeYDc
T+JaayO6eL1l3Syj169F8ZTrvNKWuQV4MQ2zR3mP5oa48QPc7ihUYnWgxcYZozLbdVP2T8TOo4nC
qpKsG8t/cIswPYbNIB6MwkFP4yJMY0u0bdPM/lqSN2GmVBs9DGu87xPWJrkYZG9d1R6ykiD01Cna
fVXYFBjLWnsf1TMaLuvDdLsUHSdJ96nZ6myxgt9hRk4MpJoGCqLPkz4jNYCYrGgWTa0GNSuxFrbh
szU0j3pr2pdGs8PntibnO2hicZQ3CYSk3yiieN/Nd4Paxg5mEpMmp73t5ltNBO5KTgWI730/QUww
1MI+loTQQ8pXTFJH+LfLoqjf6W0WKuRiEKoTeu667g3NfcGI6a2cJCkL4MgFPkMCkJONvPxanTQ7
3aOz+uOJqcPmV3aoBYmgWUyFsHkCeOqB0MSRUjE4TNL9gpWcospU75l9khMKvONjYMbvJn2wbUOD
phibI11M7cgjB0Ge7dk/0dGZG33MipMWevm/BrkWpB9UWZwnmz7nxYLkotW+94LoRewDOlRwUyb3
JSWGdm0QzbOV0zI0cJrGPQLt+a4L90nt7imU6JscAvSeB8TVkFpK1DJ2/5w3ubqhqiS2qBecN2V8
NUO1mfkR3T4leGBtZOT7DX10raoW54W6H5WITm80R7yAM+D3MgujNfG0/qZMiEnKumR8oCupQk0u
oaYSglvho/IJ7gDvP3rVhzonOwOzdR6rFAjyNKc4Dc0w7SrL6t4mctIcoNmxO7Bb4ri0kstClH9A
KGhXD9rrtdFwmDbzx1FU1Cs90TUCWIr2dQRopIm6o5pkkW9t6N5Bh7ndENKE9WvI7uz+nFWlEZBd
FqNxLoAn2aJJHzmrL+Mycq/AylPQHnW46TszANvNFB2qfSdREleZ3I7zJsdsEPa/OYQ+2tOQfzg+
N82KwPHawpcy2l578isT7lOtcXSuowvqEutBDpMd1ofc1Z9C6kAPjaWVD11PuFnVK7GCdiIfj2jM
1A07mPdeTzHyeHkUrSyqxKdEZbOleFsrbaM7wUXRXS9BPVemEe/lVN6IEHFoma3DEIiLPbtYjBs9
WcZoUzNEJjUaBHIqD1bjkc/RGsXa8/MQXDqJQKUaFK96SNYWx+FIhO1PnSglTkbFjybyzDVqPP9o
BxjpWyLV4NMq0yeSy7ErxFpJ/eQICudKooZ6Jd1geGnEL8MS7YqQ+3zfNUpxCQPgMZBOM9SQRXlh
515c5A05GC35RCIa8PW2xDCp/akbA+MpITUdjyF9S1t16vfOqu5dkwyPQ5xQndV7D78j62ORvym6
2q/r0hfLkafP3aEBSmxK4C3B04dQqFjj3IrrIwC5nVDqXiCvaLcObUHkkJqxd3v7U85GzTuNehfc
6j64wgt2f8Nq2wb0tj5A1tiLeOwfDYH661LqWbovNfU02u3D1NuAFvvijnon3vqGqR+UMOIY5XrF
Oppy67mJyFquHDv/Q4OMYsSfqa9JoIha9TnTk3oNiAsrqFqJA+/zflmYtrEx4x5qRcuPyhCVD/LK
NdJ4VyujvwK9X9+pLCsYAO3qOaZBQQ1gGH8YCZX2sjb8n0EgrvBV83vC8w6A/88pFc7v3Kx/jeRa
vvB4w5fQF9FZ1UmQj6htE+842+FhUQYToffyqrMLS939tdhEE2h/L95NrvXhVnTqRyP0nzpDU64G
mLp+nsklq9Y/+gb2h5yNCgHBVC0MANO68uhSZT8VpvM+Wbp/n3RFezCs5CMOdf/dhiG0IjQjBcPv
N89ISndk0gfvfZVitjVEtoO8EOZx/cJ38eQabfFTEG5HyI3bPnQtdn06xOmqAZH2k7M3ey/P3ouG
biTRR/oltN2T7xrDQc4iEim2KimUZI84CRnXprKjw2v+ACi8qt12eA7KqDwnKlmEfWiWrwjcV4U/
3Vs4PI9yiKrkhT5JcZYznIUTfQphrcKyfByHUd1FYIFPkdpmJySF2ddVWMQKLjdkQv0kkOPmFDjb
IN+wCYsWvpolJy3B+yMHOSXaWQXLOi9+3zbz3li5NGj+viE/R+5AF6/ILlBWRqGgK8ELDQXAqgjQ
VUPMIrHRPwzu+FNhW7v/mlU1S1ajI5cjRssVpP/K+qIyDYKHJ1NZfSyxpeOVJ8JX2iDc+a6cyuqj
nGK7+P8+jEt8zhauAmLc/VPum+abrxMW0mNo2/W2bbxRSuWnkPeJ45TEKkKuSJTapG9bzZCKKq6W
fryLnZpH8ez3b9S0XpZ4GnZyOjaBf4AaYy0SjuPVkmJzAWBrV/RTC6DWL4n987K9fD3q3fTqdl62
wVPGOcW3+gsig+EyRvh4/co7um6SUDCRdwdh7SM9uVHxCXdEWergp4fqFTrvk240/bXRp/HZnuKF
QdP1FWSgdkbigxwhHJIHxGAPoihRJ9Cf8WC7/2eQQKue6C9i/FrDUh904kRvUeK/DgDC3yABks+p
x91OTuO8W/LX6l4S11vqhd6wM4HIsFK7xNlikiDdeZ4Gemcck8TVj5DAs8UQhMjE4WSfjXmQVy49
4U4b+6OcocPQe+Bk3BVuZWxswyVvK1LSXRlYT1Zh4lcZaE2dM6XJ2WwRPbZpgrnyCFUClPtMy55L
0K4ZKDyJRufw9TMxT2kMOQf5EyPvyun33ZYyM+Xr2kR31rRPqH27daPb2Sacp7QJo0OR4XaTd+Mh
rK+exUbTIlSZOv4NNrt9a52w39dtSHg5kasXUu3Z/pO/RnmVZ0bYeLcZAk0LHZbwbO8PFOXKIzx/
r3yTsNwyHh/1rB2BYbvOORS62BLhExMLGdyxgRPmM/vhPNNNHV70k72pTb2FM+zs7cbrTzj266so
FayjbMFgslEIYtuwDnNNeZDDkPr+1RtA4Y8d570wUgCmGX5IpQz9uUYm6LazbEQmJQSCpKtT3OdB
tMms3H6IOyIl+lzprxOAiDVte3+jtYGxC2ceQ4kQYkkWVriRUzmwUxtROqgP30tK694dInN2ivCj
U+ajqR/QLABHi5X12BjhqZ8HeSUHcCv+uklmmmLiTwelNsYDCMbx8D2Va3L4XpMf+VqLfthkOBGb
gNNX8+2jRln0ye3TU9dawXtnp9QAqr7e95YZ/WjJCyABIngnuSLfxjzft3Os911L7UtGVMNC8SMP
mn3WX4Np7Nma6uXW7sjLkmtyEAbIMuPWEJxzwtHEMYfjbdxxNip8iAMLbBz+gxfaB3b/K2GksJNi
SKHLyNDLA73ZVlvLy695aKHOkJcpjrEVHBJtbgbG48xiuzWgsK9hb4qX5I4RTX3BT9YshE+lVO28
ZSuy8TWmerjvFGI9tNn2OxF2EeVqgxTABB+Th/bazI3uNRDZwgvT9Oh4RbkK48Ah+bRLj3Lte/jf
1/S+fx6qrt0koFd4igaxcfCKFmmBabMpzvsDgJXMXAepIBElofOJarDkF35w5rRNYZ/6VjuHvTvn
5OU+oRhFc5RDUaMblld6l6O98zKONdB+lW0XuUfV7CLSBmq4BWG/qUfV2cda1N9ETm5bpOv1Z6m0
W70NseEhMFjrUe8fFSsXe5E00yrFe/7YpYODAk2jkYha67EKa9aIegvs+I5oujhToRDPRs4/AniD
u5y5ITXguBke0cHaz/UAuiPWs6eSX+dtYxG9S12nXedd2R9sRbHuZZz8rkBlfaQatdbO0upbGIXT
MS5jckviPDkosDrBRfJEUdW2WacTPRc2z/ZNrqEDDJfVpEU7ZOnwLk3PfyoswutUO2+3I32nrdde
PIwlH6GHAJvTEr3vKvDQjNX8uWZqECyj2peSPoYa5bgr2YEMJF6dLGptSyMl6uJ7Td7o5rvySt4Q
sYpQpjHbhVzjW+EhWJiCXTEAC7YJ2fyIE5tQYtTGD3XV2ZeWjLeFNd8oAv1PZxj430h+oh2k4WCJ
5j2eHMbW4SqnFIqSgcugJOXNIZg5s+mPwCRoV4nTu6e5KH8y50FONQqgB9WZpfrWuzXHjDsJ/I/G
pgkrp4reDWsKSP5OTge7eM/he1x7csKfHNf/yiZXaz3Ct6wTX66G9qszNuOii5FyhJZx14d4WLZQ
1l6DoQ8XXasWnz0dkX5IdVKd+jUaYqRRulmchyl2PnJbqRZKWo77GvvCsvILsJ2l/88ALOufq4Zi
Hr/eZPkgnjF3gWYQbzJ/Tl5V8u6/LnGBhescCdfCY4sGT+NqlPDiFq6AyDPkvbUTo6pdzXnwHQP/
amzBeRPIodTBFOs+RjeRqtapqQKE/4MXH/N8juVtNPNuzoNl4LDUQIPs2ZObd1Ego/RNayNv8t9q
PnTUoff4tPKHvInyh6zqkAlEaABjc9vpWvJg4GW6pkgfrvxDDN01Kp3uKq+EpcEyLPJ8+73GD3i2
19n2Uy/8bx/WJxhhg66zVSBFsc1ac+9Mw0ddOMldqJQ527EjtKYtxvd5XfPz9J6mhTiFOCyWWmwP
ch0MgbtGOqctDJolhI10PPSKutjHRgLs3mrusf1zykOvWQ5OfatDR70U0dQ9lTUhMX5XuTuodt1T
4nikBHuJsYpwNTyRLt1jz9rbbVuseEg1r+ncIm1GSqPAxJtX2KRvdY7GdHQc7znQ3+SHOh1db+Qg
dpPTOjDqraEPMDvmr2lEASIqMZvj159oVrumSKLHdgR46qTtbwRCLYEA/xkU6z9Xcq3vg+6gRv2/
PyLX0uhgKClZ5hotedU3Ul5ZqBmseSjaOZATWMqUqnet0PQtqvERLKdmwkOjCIL0YB23GeFlilAX
fRaJ32WZvQp8FW/ov0NSrCvxOPVoU93edC/g3gJOLY15yDNHWSWibjeGgR4PXjrPrrD3jn0MxkhO
B4H0uQkRU8Sc1hGh2zVYF2KOwsSGGDAPgY/UphY6gAbCO29JQ0OMk4v9oScYVv3Yc25db5XYfBp7
BU06fB1igijmWnofrHvKYL8yBSdgU3XurdVmZzc5uD8io9o2k6n81EndXATskq9N6Vw6anKwWZuG
1vsEykhe0hNtDv1IzA2ORHKBDV+5tzrct46ujZwJU6+3aU/HRE6Nuf0bhFDbanHm6KexXx9thX/0
6KdqEY1K09m7ysHRORoYphNs64Rvfkj9ZT2JEXCU1novTc2GgZ1f+CPRNBQniBjfiFaagz27+j1V
CQqgch1X5b0GJwpEmkFe2U3PvkFeEsTDpbwVx/4O2qLY2oNNnApNEN5L8hKpfHcQSk12MyqRfBuU
xjGdJmjJ1G6bIeGsRaCgfQAJ+U8n7mvqufUOG5N1JGV3QRzseEMdON7s3imAGWRHOZPrRh3FRzoh
7zAAMDhNArg7BL8OxClfJT8y9R0hlwOnqCIDj2B0k3jyoudUyQlwdZWra/mUh1qFwBcjNn+jkiNv
p3B+UgT52Xdu/O6NBVmbiiVWTlf5Z7/e5XUh3vTcVrdNYSfbdBTaO+eNmTKiB2zxRj8et7U5Km+C
441PeYR/yZvl1dbWaI13iftqZhhYPYO/vqdybVCr115zop2cyUF+Qn5WToWFp5vv+KecyfWU7e+C
6JNq17W6v0Bw7v9uimxVGc70gasFQBiShwezcMW+4rcW7YW5kb2A5gedhORBXrtxxYN57hDU2hP9
8PLyvSKXu8xfDj2GMTmTQ4U+haDNm4WWCrmqaNYtZu3NzNd4slIl3OHfzVZ+OVD67ab66Lmkcsm7
nueXD5WhPcibnZE5jwIjP32kjvYVzWBXiW9f9yZICkUMylH+vyRg6pZx6wPPg9i+9yNrXEulnRyk
8K79L/Vdi0hp6zv1Wa5/afHk50DE/GjcEL1iFWXL0BDBRjY45NBTwrnA3FG2FuTqr86HXPv+yKyc
Q2B5+WtZBzyymJqg3f51ozLDYZPGpIfKG2U0RMexV0tUMUoOFD8dnqY0z5YGQs1XTFy86odpevfd
6EeBeflTz5S9Hoqe7HlRY5rgCLHwynMA8RUknz5u1E1lW/ZPHgktOnEtei75MVijtVcvMdQqYI95
vfd63T27OA/WosZ4WPloPuLRgnlUV+UEJASFPIxlZUNiYLGwEaGe5W15Q17JNbp4z2qJCleuT9mc
n0tu2nIAEHqRQ1eOm9rSuiPqhcv/3mSz/pbH47LBhekIhx6bYenGX+I8qH0FoQZEp3WFs4wNnYZx
02eHb0ozKGWc/zyoXSe+BB7yBsMrfjaeQFrWBsnVikxwisowrOSNAACv1fgf/K9F93FVd0p10mrR
nI2Sl4zIDP/dUHoYVaL6RfUTxYUSJ4g0/XSjaoaakVg0HIgltUm+U6O9UjTiGnfKKnb09gTZi8p8
Q7WI3k2Gyq0ZCWyKVFpOIZJk17PrHeqF8dDwi3kcyw5yD4+qByUkGFhL03HHl76Ec4ktngfaLNnX
UAmy4JrMe1a6Tvs/ZFzO331MW1VVMk34Hgu2vdia/rscxa+iaUYveou6S8T5X01MzjpbAFvG8V9r
lEgIkR0ePJtwECDPxnOuTXCqPfydX1LwEWz1YBAMgDfVPFBjcJY13ix00U795E9sH0a/HffEOZkz
IibCHufXv9KPylWCX5oJdqbWteIauBhyVNMHrgqT7anI4ZSqjXK3at5sG8XXX+ltaic5TImjngy+
NafUEcORkvh0sYVV3wcN8ijSBRyx81QOOWbERXAxFRhDHSiYlwqTP9I1/82fXGOHC7BbG1UdvFHr
+RRTrF2DNgnZ/TTv8lOc3PR1FBoN+XcVCISUDlAWpsMN+xSSYL/uf1UfKBycDVKqEUlBFTzSIVmQ
ctLd5EzXq2oDbI7Ad7rqj57W+rf//RfHsO2/rWqYSjCWuLw8TVXHIvpXdxpadOCPQ0lGyHRpgyD7
hPFBOJjbDA8YrPSjnzfJ2rbpPtQ1mQzzJ9Qg+kT5tEpKp1iloeqtw9atz0DhdlJvoAPR3Oum9o52
vsvWrTvcyMCETKnfJKPBHl3aVr79O3QbbPOGeNVnO2mpjDioySv8V2t8tHoyR/ze2qQd7mNLINme
kspYaWaysUqjO1pD4hGTqTXbmcbDX5BnVE8qp63dvp36g6CChj4dGZcyhCP18WxcOB0UZNslwq75
h23U0a8bFmOEOyixxitdoKMfl0i/6ZYHCJ/EsQgCOqr+CnpqTTmAdufoJITc1OHZ7iftmDQ50Hyj
OUlxERzeu2lW2kUqjzjvJ0vM3Uc7gtaH/GzEjvafwQzb8eh9ZLxrn7V8Rsm0sXuK4kjbqT7qYIQ/
1gM1dvOh7Awo3X1CfCSz3iGH3rYUfx8OjbPAIqbfYjazO51H+s5txHykt8VC1Lr4lWFQ9/SVrzgu
x3J28KUahdRw5ktdsVGP0bgr3Kvjac5D4fguymauDLIiV5Uw01WtRgcKad6JQEn7OQTChOEq7c5t
34rnXjS/ymHwL2yRxTPmnLe28AbMSaLbq7TdqPHr9T3JkBE2I68n9nvVKiEwdGU3QXB2sio4i4kt
aaGXx9RS9JM2XYmkE7ia6KxXVpCtvMxMd7KXTpks2LSGrazlXaggGWiEJl2lqYNVxu5fBl6U0JLI
x8axsrEpvz/0nJeW8PvzTYZu8CHKHWKRxjautpgROqLD5rm8Nfb+IWlqTWzNzu/FcuCZsjWn7hAE
BDHN+jVtKTh+LuPCPeID0O6c9bX7qJjGKieCg/8E2uVyaHkvDWk/XuWMjbmO5DklGpiTVu+HEAfH
9k+rksEcdJ15j0vMK64fvVQ6SRxG7k6rUu8wIuRklvrJCN4wUx6IE+N9HntrwU/7BzrmBm1s74Bo
Ko0bTU7iNxWv/9BchDEEpAxZWZ3MYmpP0N6j1G9wRLkW5NJ5ScxDZxQtrxOzXKpOVK08Ux9r/FTl
QuGNQPN5njq1jSOme7d9lO8heQkHwR+cLuRc9VpOq2NLMg/P29Qt1HZhxNZ58MQn2iTrJQx5iDeF
WfE7wzSx1SdTa6OrGh8MoJwnCRXDIVWeU5fmdpTDAfkGjUWd8aA2erttjAmYWDUBNUsAgBEmMF+K
zEsPAxlycwaNPSseQsHfT05lVE2loWmBvK2t41SF3JgPHzC9EP1WVvJYZr9HK+WXWcVR0gy/Kg/c
I1o4kmDrWvn0suIP2VjuQ2EibPS8utx41HfWkthYhcN4Mgrzt+ZwriTNGwzpTqvt8qrJVIVxvMtZ
3o+EXjl6cP4y4tdVRXpIoxe7QQxbVZ28Q6UTUrqQl99DWmINR+TrbYSVGXv8rM5apxr30R45Nmkf
fvwEM719jC3ihjioDJBDIIPN/YQNQdXjOlEU81QVuIpsO/RWwVibpzHXzROtKfBaeWS1eztydqjL
OjIpDF89jqPHaVjj9T3PnHmQV3KIAp0wxpwQxC/5Y+NOyQE0LrgsmGdl6aTA2op4Rb8mOeckzG7b
qOS7mfjp2W5gI8ob8kquyWkiKp2YKd3k78aXqfMgr6gBOku/JhMx8zP9TKSEv21pr/NTzXl/wQkH
m8gQxvoJjqhH9u4OkvU1nUP2CJiKT1TBrp1PpqFnesNXWkinFIj+06k4j5brv2RTyV6VFJE2Nay9
oNQDJz82T3VAzSp2zPQccwI5+fWJcN7snPUFsZFyvQoGu8eIie/ZKymqyEWDZs8ySJtqbY05yLm+
59Sduv2VovEN4ims9bnHl+nVfUxV7yyXsir97Tu2sy1N+63Ey7dl/xpnK7Vv21MQmS1JiAwc+5NN
ZM+ZxrwoQWRm0zJF4fkoARXzbDCK7PFrg9WMX/cs0DXP+G+/Zhy5BtLgfXPlBF14jszPL1JelSXh
uXJxRv6O+sR+C4dQ23I6sjZyqo84tAe3eukNB9GY9GSaZTKdK5ET4NzoPm7L0jxoLXqVAOLITOT9
iBQIGlVnhZdhouIV932GYpMbTsozRS9XrVJmB5H2ZHX/6xKtPo91K33tkPgdiNt0D/JKbVT3IAc2
j/9cyRtR2h2Vum7BfTQ8p2p1Dj0eHKIDctyDpN1HnzUNY9L+trbkg4S1Ne6RszypPdnG2xGXGwX+
txIhz65yRnHBNW99DSV6m52vW39M2AIXzeywo8u7SW1e6OTUh+/PYifjI/1norwHXWRsNU18BlpY
WQelZSoU4zNAYDYuUJslW1+Lf8sdgHz5y6sc/f5RDZOXxideHFV1+liQ4UnpFHqsnPa20RyzOTNL
mLaVc/pOPkNtoptV83PgoebaiwFUG5npZ43fkTMRRsbXFZw2XEp6TYWz0I8aPaHtFxmtSmilas5F
UGIzrML2jnVAnLzBA7rjyA3eiSEsTFomDe9DZkqkxreCDIxrCDr8v1bkFbZY6C1V8/D1xezWtqEO
GgNXX/E45t1Pd6icV80LcLslykEO8Xw1ht2rE0TDg02a1L5s7YQDbIm7wvuIBtX7SCcUpxnSRUC9
yXATY5fj9Uq8j6lq/sRFf8GxlN/zbnIW7FEw7FPs+Lqy5yvqDP6rvJJ34zgqF2pMW/t/+Kxc+/6T
ONgdkJYVewhm69SMtHNBMfucoNE+y2kEZH0RtsnraDuoaubB44D3dZUkKUlxffCm4Zs+GfMgP0HB
rz4ibF7nVVRsyOfWTrY7VjSvxmBnqdb4MI7qyJkx9l+83skX+lCNn5ZZrZNxIhzMUbuDaWY7QhzC
n7YJc3Wyx+jJ6ooJ/FVsLTPa2jfLKs5VKJxXHNUwZIdBP8aiLi6ZE+VL4uVccfB7Etd93+/PFLqb
LfpG+E1F2NBiJ+I01obPiViHsxtjhY8bvfrISXgBD+I/d2GiUV/TrbWRlOCyzOgpKBQ2YWo87aTR
00wFiMQMsYM0gcq7VkNTg6wQqGE26fHgPbtl7I49ewpPe1FCdqqBoV40r9JfNNdbmWkFMjkf2l2F
HQgEBPtuQt/J4THcBRi9+CBncp0i5z835VUjwp2fd2InPyGXvr/8+7ON+uETzH0AqOTAC6UpM4Px
j3Kw56s8Sme01nyJtBbie8zR1Gz8Ywr37TjpWIXlVF7RT/DpAPv+as40WkKMtWOHwpCMtmDmUwW/
fPEH9V+D0vhgQO3qRre2ulnpgOwM40qa5uU94qglMydk0kTSGmD3pwTDgl0f8eX/M8gpG7F+6blF
wjtEpRfhm3+mkv++3DTfaw8tW2Wm8Z3DNqfiIAJ426sUMd30zFYnv0Sm6OkNuynWanpcQdRaa+GY
eKRNg/geW+wLPxyfrbQgvTNpV3mhGY/kRYAniUlLdJCA1jb9CQJv1zyS0kOKL2phCQ2rAttmfdk6
EE+6Od+zsOghJpRk6RaTnTt13VLnjHNSfGOAR9kMX1dyTU4JlDG3oKw+PEtdFzm5JqYZ/aniOHiO
fdFvmlJoB6PbuLY9PNvdVWK36OZVJA2GT26d70h9UW6lxR7FzmmxSYqWrwefHFeV21j3bBn/a70K
lJ/fn29COm8oK+k7wmgNygIRAiD3iXRAemMlxrJeL36YJYi3xmjTp6SuMWHT1qZNkWVP5Gmyq+yx
7cbYrJ6MdBgWfgZCYkiJIAlnjGPT06bRnOC5UaxPXLmv4BTGH4lLGqfDE4tg07R89FVVv6PAi7dD
ScyLQwrle1kvJTFbLjuToW4JzVpAFjfPbjval1xE7cHU1Iuc+b5rX5wsJGdM0Y1rQY0h1XWEyApx
K6qvvsppJiP2usDxLiRQx3/KuD6EUxH8QmX64rVa+ME2mm4qobQ//FmGV6f29Ew6k7W0aieGI5OK
VRzmiPFSt1ukTf3pFkVwjw2yFZ04bF9F5nBo1Mfx0xz87ZArdUAx5E/Wjc0foNpPIFOVN33kj+4N
UhWAbze7CPeZhk3gwYgGKOh2R4TNWC87t1XObCjbQ9yq6dZJfaLus0Dsk9Y3ryipT/3gNZBlK/Pa
dWJYUXD/Y5lTfJaD22XJueiTN5MEpq1cqoj4KS1lRyyveydb1z90sdbD7NWMbJkpkCrc2qFvZobe
3ZqS/pin6h/5YacYwo2JmnatNWKhhmrwM5pfemghC1R/U32lN6bSiw/Dn0M6wUbvq6dMFcU+zzhm
cNBvVjk2ya3tRy6VLSW9FeFozwUsD2BoZR8CnonbuLBsIg0HMsPMyMWkEeKkhFjyU8vBZNM68Rcq
35ncyK1fblT/GSfzN+W58ayoWHF9aOZ+R7zU0hGWvjYzI1h3ntbP+Xf9XambS+AA7pdLwi1NPPk0
mIWb7rS4JdBwRgjIgcjyY8dWD9d6jHeW0rWzQL7LWVZv4xBDLU1uPOXmXfcUcSrz+IkQZYrSQU2a
J+VKbGl02ogqU7dyaqKRvpXKLznJXGOdE/lw1kKKTPxLKE884iWT2ftRGOVvsJbZJ0zwg7AV6Tla
OSm9KkjKH3UX2iuoM+lpIjLuEkMtWALFTV8FG+dKT8DY+emknsN58IZk4YaxeCTNznv0Xe0pjXvj
3PpwXvLcVBAOnqhMDK+EcqQnaCYFINNKffHjkLCNEfmVPpg/vq8iBLz0x6vijmEKz1jhwMmdnFOf
gIE3BG1zoBdAJecbY+XSJmmPDe2Sdd4o4A/Rxh79/8fXeS23zWxb94lQhRxumZMoior2TZdl+0Nu
oJGBpz8DkPf2PuH/b1DoBlWWRRLoXmvOMW0h95qTOA98fJt1nOrcL1XR3HUtOODjpIfgbUmfkehV
lfHSOLRNZSJLMuUZWjMIRGbdHZgB1gtUbh+aY0GbsvvxoST89NUmQnkJbOxYMq+13HsYFpJuECQA
hlrqUkpEJhRTx+A2oTkvcYq9vq7lRyNIjyJGukQK6sqPQDrNGpnEdA6asF9pZQysMeSr7egueyV6
Sy+WjX9Wc/LoELRNxwdtBi4VFAmsINGeEuRQJ5QMBp7aqP3uxOXKrPrusy9iHMto6LaG3lo0zbxp
pQKR7AcoBo9anaf2qqFDuXWix7BCAwt4VntYDppeiWnFVss6pAOa7LG6tkCAn5dDHJQ81AOiITp7
Kp4NWxenoEiL1XJVjKq91XjGnNbWNrGtVYD5KM6tSs+tjqzWf6LQDXZ15TYH0yAjZjCIQsPo9kOP
baiC5cTGMfFPFeKi06gNuAct4V2ttsv2sLvZwTsdNdGo+tn3nXMNNAOdgYGdDdv7+OSiD1uPiYui
Q3Rbd7I2Zl91l6BzomsUZ9FVFAjpup4EcGpOP5Z5OrL52cXTueD1kdJFh3hqkFkv+5tO6tVBYwXv
7q0OqGeQxca2HlWzavMRURoWkMswH5bh/zVXiwMV42jTA93danY63sTMrkNgGZ4TR73kovszFXSk
FBCj69vHp6+ShzVV5caCa7NtRFA96U7dPqCmOi1ijzpvo6cWut8i9lg0IYtqxHC0iGrWvyQiPoYW
QQ7a4/JDvpd4BzHgWfz6qXyydsg2ME1n1WfZAOvCABk/d5D+T7IgtHCx80mj7Td47dS+QLu5BIda
iZWfVJyoDYQvecl67K5za3BpBlrW3ONaxkUqHlWVq5OI6uhGe5q6goPvxp+Hy1wQR9ENjGCODSiz
DlFETtfXXJlbFx5w++Vl9KBqnjKJOBHpMa69Kuw+wSkgDDfdj5JWz67xqoqqP9VXZy4CI1L8z0Nt
InMxNOsy1frPrLHFbx0CdDzcWcQEpxbwYqkwK8cGq4ZVRodOtwG20MnALBBconiEjWq0Rrf6O85h
x/Dpc8/LlOGmzVnF5cYB2bFJDIUDEkfFt2HF1zHY29ZEWmA/wzgWLocblwlW4VCxOQDTQSSGSZzD
kF2wcqxKljZndFFYKNwe3dcy/nNaLlstezoMJVvbJOEphOpMvKVZECFH94Ot5mfBG3ouWoduah+X
q6LUfru6Z1wXww/4IarIVO2GUB/uKnAP4ZDUV7cjSiwN1k3t+Xf+NtWzqtQcWgCctMmD6jkcO/8a
ZeI0XPTEd99VZVKEzYwczws9+skXq9CIso9lfl7H7dIp9l9z1z366q1RuvUZI9tfS7fOALGawYm8
xoQt26i/aQ6OL9K4f7m6e9eMwn7rBgMTJc9DtH9gZ/gj+FACAohRxAr80AefCB/8TiP0WDRVuv3S
KMvYTSO2HqMntWt5rZ0O1jttLTTiEDHKwLxKA4X4KrBiHddNPTPqXMaEhleHMI6eMj/7ucSACZyb
5phq7zGCua09IEdKLUs/RBlPFAdP66dmm7QsAvWeNqLes0bIDzkCotdQKwg1ruVnniv+Il4yYbQr
3EtQZ9nGShtjlVZND/CLZ5qyxKUK6uGJAt1APQAClRNSN5mnzE7VN7t7IJQBztv4a0BQvjJ6ZT5L
FQ47X/WSG7vcV02CxC5raHR4wdTBcS4leYg9GUXz5HI5NBz/UqQkGuaO1W6X2KskcWRxxJeVEW8b
bJe4LHtsCbQSSqzpDxqn5eALHdWvnjv6yRhymirL6XLJ+/eLlmE4GLwDdfuWmrTQpa2rh3HI9Y1b
1eO66hUW6bKhrpEnaI+Xy7WrFNoTBx8wJgqzTaJuk/ZsNKtBe100N2OlD0dNOrT0YqX90eFYQ0tx
U+zLecrVQSeAXiz33lyC7+cS/HKWN9+mESVqshTpC99vLzV+DCi/JXtPGojHAt/POjRd6zUzJOFw
1ObW5aD9crpC7OOYrAKK7+FKOm501gIzv/w9WAn9Dl7xC0pNfgtz/ESaa6SbcBAeopV5klSUlVk3
3pUnSIhbYEb9ImRpHzEVID/zPbH7yh4sarIACu8fpRMAFiC3XfGMSx6Xw2TFP8FCiINlGH+mjPnM
MXx3nZU/fW0k2m62KBZ1qM6dG0JFWsauuQ6iIn3XvOFohmP+cyyjcdZ2dk+9GaWnJO3kjgAZsbyC
7Edseqn5040QQapCzo+GvH4K5u3037llOGhDjXZo+PO6tCnzHZ2U8TTKf5beZprqwzqpeUbbXaAu
Fs5SBFgznqcdg73RUGWScYAcmJBb9gV6h+GL4lk4HwzkFuvC5947wMBfA0QpPjUcDInqi98UOfkX
WvU6QaFik4GJWeMz+6DhOeuKDZkf3Ua0TX5ZDsG/37L/a9gH2rhXpvOaUfX5j5ztJey2I8uVSkzV
bGrrpbICFzZh45/YcuU/06D93XYi+AB8LVaa34eQWwHuB12frosC0ZwLI33lav540q1oek5lEqEP
ivJ1JJrpeZnrypcMkPk6yDQFH9ZrkbgWn05JXDd4jGqn68Dtl4ftFHY3HAvq7k99e9PqYT9YBCwj
N5PY1EuxGvJKHJZnPu9r9zhf9b0sPFs1j/AAEt1z4XV0MYP4I4DvfQR1324oM5snRMjoJrmDbnMs
9ful/u2R+fk1/CqAExH0H0NBNuJ/DJefdTq4LX1rvUPexf0yH5azzreSVZaY6YXi+Bvd6emp9tz0
ppzZVtGJ8JsmZ6RW5lyEYYwPcvZr1qnhfQNKH6x7XTPPTRfEr3qTHw0hjFOJcnhfut+XuoyvDy+m
9PPHUOtZ5Xhxe+1co+JzV8WfRtdiqNPNN91p/T2xkfreaP2HqTcAgs3pTER9fx/joXz0OoPoJkVM
s+AXySWq0Kei1u2dU471GUfun/LQMoSJk6xl43wkIxtUKnXkM8wHXwvkYZlbhqakQOBLWYOB1olR
t/GkrsMqLjZ5Gt7YSoOjabgHhLPrBJbrpC4xXFWyPPlAOV45HKoEEYcsq/QiSdQtysY8uF1OJBC8
qb+lN0B/71VmBIAr/lWvWyp0fwt5coJ4NkV4TBcUuFfHNBR9rz8b/RgdTTAAPAxmGLdT8yu3OXcr
TWYvPa2jY2NZCMLnqTIj/yk3w98EIAQ7PN/Dij/HeNVVU4JUSlnMRAhszk42jY/Us+9LlXIZRUN+
Z3tbP9pFe23m26KKcaNkubDW5TRDNJY0KgsEOw2T8Jrztu5RiCHn9Gxry9Nq3EdT2b2nAVGARqzH
12WYxDuvHd2bF0dHQzMidoRz4o0cg+FUh+bGm4Nxlqlinndd2NSeGQ/7hQ3UuyHOGZOVeWQS1Ehr
Tr8Iq/I29jBmawH3fEORLb5EQTtrsumvivJFK0bJr1HXFz1l3VWRrLRlt2TuE72D+uMOxcPYGMW7
RcZiMXqg2dyB7brqpiPt6vLosxu+lHHQ71RfipuHP3ATmpMO+QsuDXWk1zgNJUttYzp8wYU0I/8a
pnGdUhjp683ymcg90mO+ujRmhCC9HLD+lk0nTvAkViDT/Is1H7qRhQ0Bcyw1ML0/dkGuHyhTbxTV
bKj82XNWxu4OdFlwklUPFSZAfxUjNXjzovGzmdPqpzhZWWRcfA4OWjfXdHZ/PxbYA7xrVk3eoQnF
j2V+mYLp5vGp0P11lslu47kjVHxMhW+VHICm6Ll+Hvq6e0Ob/D3q5yDC+WKBe8lPEnFvCmm+ttbX
j6RG1j2FPbYLWHpvtSfV2vBRlroo3U/LAYkFRYz/PmQZT/3JD9Z/5wOcO7vAcmOYjnVxxhaZXGuX
Ppvrxf63mDjlCIIHfhHJng2RTW3RKPW7onpGwTPsy5REPbh46tlolXWdq15h57XuDukCbaNC54Zf
I49RI/knOqb3O4tBBNd91B6W4XKARVxPaBSqrG6ORjfFWxNW77o3gbp5zeC6mww5c9uzIFIacbhN
NIUr3MnciObMm9pB56F8CbOGBWm+80I93BRmShW4j4mPtKPzVxaaU+btWiv1/DBjtvZePFX7wtHQ
TlExQynfwsyPrWgW16rV6Jc6Kv/CXbcAzN9bXNibEW7xcRnKKDwChGiegVX6N68gJ9oZPTYQGo46
q7N2UHGtNbmT1VNo5tkhaSFzR7YNI81iPR/hujo6SY9PfMzldiiAiHi61u2UTIf9FMsIM3Z2NJ1a
vXREvz+ooD5SFLxAhgbOmOElevDdPF2TEhCvES2qU+AKDWUn8Yd6g2oJculBplTTzbB81UfffHYm
tHAF5T+CFGv5Qw/6TakZ4j3FknMAYUFIi1V9ilkr5jXSuvpji/OJ0ZdCrISIPfLXX7Ex2bJpqC4I
1CtQN1p7UNRKOzn9cOhlyaKsWOH5PUwSS/7KLEQcCdLptwS3/SZprBKIOAuHIfh35lnLHzvqb6yz
uO97vW1R0cb1ISu+VzosWJdqNpScWPGnoxYHqMWBWHAu3OoOtbJ8TflOHqK2bPeW0O03QSKsF7U2
mddRfNJHSqVxEIwfSRGK1VOek1QxKzlKMf3ngfzJH4CF1AbXfPMgE8tfT0lODoOnrTvdzr65lY1k
zhnbI2QP65k293ff0+w9vPFhjSnDP/89ZCyLvoayt1+1KiAGNVT6We9wqzuaKJ8LFABslPTuQGV1
utvCbCjVNyQtwzIlHK//HhT6sLGIFDtg4T1K2j3UWga7X0+Npn8Bhitu8Y9s8KK10dVonTLudcth
8lMqJINnDyeHiPb53aA5U+zrMsu/pQrGCjqlRqfxLmA6PUHx2S0oe8jfXyMb1uo27/R2+A4wDvjU
HMyL4VHPY3aSSdVel8MyTxWleai812VGzc/CCC/9wRy4z4emnp9llrn3onb4tBjJxzJaDq6GnMHX
jOaACsy48DaiiWK1GoA3smJ0x3bjPWUDzEfPn+qjUzneE6x478mv7COoT/ehMeTvig0st1qobZGZ
P5ltMB6/xCNKB71CduCe/DQ8Gp4DRGM+sx0gH8sZi+o/Z4YJiUOmUGXCRv2j+ix5WQ5ao2YfWH1f
Rl7ISsRUpXdchpWd43fAzECyuS42RZ7Bv1NIOw0oF/cgjaaDNiXZYZKVca9k2a+QYBChSrWwkVn6
2ToQSdNEI5ZXIIAMSyPbBTxJHxOv/XMWDgHM7FAc+clms6RiqFYvrmguMVlKAw+cPSNR4iC/jVE5
Xh0r8VdLDMrfC0k3/blADY2AnMBtT8X4TuEbsQcnGV55nmfa35kw9qe7LGyxxuGa7rVk8h9GNAV7
MJntuh3MgP/B9FkFFsL7UiZ7DXUjvRE/fppEHHx9ks0Uf0fdfOZiQK+rk51JCmi4Id+KOwy23l0O
FnzzxWxSiOPMNA83GSAs1ium4BNFSvjcbUGBaZGNXlZrx0GQadsBQCALLEWomdVtOWRhktxwkEm/
+jOzTHf9c4H8Q1Bo/ScN6PN55IPgHlo1RlS8EtXSbQPXSnAYsMZOw/xWziG8BOsFrL/SZKd7RPUW
gODqxiQsVTcvmeOlpxgvxKGUtna1e1dsHKf2XrAYTqswK+wffShOPdC9cIWi3vTH7/Zoam+jSD6C
ge3RaLIaB19j3lPZk1I/JJBjpnCTAAuzpXNrqOjewnKwb5UefrS9Klm+RO1VA5L3EmEyDmd05dA6
8oSZLdnowXSd8uwfeuanXjTRZwwYi+wCp76GLNGu3UC62HIhTcHBmvpbYY/DDYRLGj9lI+YvlZO4
zXMZT7tW2U8sXX4tH6Di3/N9Rzm5U7FggQF2JgmTHJUufYWkV++d0V9aB9uK1If4YzT4/BPulz/w
5nbvYGDS0rJP/BIExABaBq659KOBLdNyiBG2fSRwUdb0DIpn2/UFUR1BvLUj850yCoKbuKLZpp8b
fxg/HDDGXVdgo2gatjwzm+qLcuXQRC/zqxriBsNUzf14fucsEiyBmkqgszH9yKEzf0QZ6WamSrRz
mk+0Ggza6LXxbjiNTf9WsGNDAvnmZVW88y2R7wzs4u/KCwOgI6266IPl3hORPyV8YW8jxMuLN6uS
NDRqG01lPqXCwTlZyAvWQyycN+5z8b7ybG9b0ix+MMrpexbF9kNWh+GefWqxioVFXyitmZsvuFX3
2/YHccqHeN3qafiOxbi6BrKLV4Y07ZulB9XarfqcjRC3H0SshFMtiZSmhpNJ1y6TU1pIdi3irZVB
h8iJ1lonu0d74PFZykw82F5YvgdtSIFo2ta6b9HtA8KPxszb1KNX/gHju4EYtsLHNDd44BQCCLrX
0guz9ejayQ8kct8TqpD3imUxKgRQNaQs+I+J1oCwbPRqO+ptcQyqGrIMumh22k9umD7ENi6llQ/9
AFnDfDo4Ke9aGIwHqy/Jl0oa/yMeCSt3uwF1Vun0H3B6SuH6HwWC6pNeeeXGO9rpRsnizWYxBI/S
HKhe5bIFNTZULzTsUmR4dvHb0u5jj3HY7obikfTuBj6Z5t8JlMeBDOGZDaSR3WNX49srivLNEsWL
l7Zr1w7Ud8+P8i1dPB0Zbgi1lVjDVaDQcWdm0v50EoEHZWzepKf94qnFPT7LupU9GzdEn68pPU0/
7MAHIhF5/dVEMrFN9Egdv+LgJHnlxENma8oixYMi8gu7OmEFuiedZ62ZMezd8Igaynl2Xc/bZAA6
d5TX4bnZ/XD2BkHTrI8xF2eD8RK6TfzI1u0G8YSgCChoJ8su6g0bqGpfs0p9sbUSx7pDp7idh37h
0R/zibMNwVc9NBk7Jh3N7S6TenMTWgFczA/vI1roexb20amKoz9zywUjLiB7xA3MVhz1u6+IQuiB
9qqtiTcsW1ggZs1azspQ2u9jqhBroAXqWvOIAmmoik8q5XSjIvGbJ8KLbkTirV8SCXSz538qKmCI
ptddEHSkNFHwMqKrenIxzayG0jVQn7X9q9VWmyV9UfX+oa8m/2pVjr+XkioTbN9N1qbGW5fV8FrK
xDmFpUWTNWh/Wrmyr0kD/3VysmKnJozOvcp/9hPy6cRw2ycbmfxp8iu5yyGybRwXXk7a12Iz8ebw
PSUlqHFM4xI607hugSR+px32abDtv6MG8S8TugO09RM1+FC9FIW+/Xoq5C6q6wSUfTmBXbNVx7sC
BXblSD89pX0abcw8td6r1qpQZ8vpiKPbItBM4hdRVzVZ6jYGdbXPiHk4Ql+P7/Qm6R7VcKilaFn6
diiU+6m5JKbauk4oflfKvJe69xJS1Hixg+zX1Jjpj0Ymv3oyZ9Pe6L9pbn4CmmK/JyNZLl5Qw6ug
1rDKpvibi7vhlPm0m1ZlKKt1lnjRvm8zcWtdkV8sUZm3AnHfLosL/5CjF3lLtXrvRWH6g7qvvtF8
XZ79vJfPNIjfOy1Kt0Beq7Xweu9mIZ/fBh2ou2W4HOB9EMDo0gZub6VFWGeENeONLRV/Ovr5j60y
qoOZNOfW4f1fUo1p5FYneHW0dGc5zTIXdr+hCmxZ1NZvJSnPezXlGopSO/4g2xPrXBK4Z6Ol7LKy
Cqrv1py6VdUYD6vEb3bhHL21zA2TjjFB6sRHN3Fz9ytQpENsnd0soSAaJjRtQdjtdV8W22XYEJKz
JXqCf3K+qprcmSlV9muBSRKluihPi1J91IOfYd+6rF1ZxuUEc1JdyYutDbJxt1g7POiWB0MR7z6M
fbWtgzrdLkmIJW6No5/K74qoHNDbHd+1qvGhSLQtYaNTP73zn/xlGknLFyxfiXDSYZP7bJwmEuWq
FqmLplm3KZPahsBs9mmGn43s+eZTYdU+tr3sn8AmHj4pinLbO7ZxJ6vZuDdxBw+EPWLNX7NWw81D
yvB1FixnWmQ9DF2yXjw5kbLlzhKy2SxJq8scBgKq7t5QHv/OGRTQ9PEO5d47/g/tamrqcmsDV1+J
uXFdlxTCidRgUTYPPUdxV/Pn01IF5jqNov3QWfmmagvrSRs164l2JHGFmlHu3NBhy9ywYl+5+RQc
8iRqHlnHrsQ4QaHF4Yg6e5KIx1S1c13oAbZP+3H0ouCjromdMV2jOPbzULe42bG2f9PGodpMPOlg
zpb1U+RHxtlkueYHZguwDQCmnf1TK5KBubUR+qtTP7oy5aDSfKThmZ6EY1IAiwM4phR61hrV5x8E
x37nUW7f+QsbZ4/d+WaZR4N/KszOfsVgPR7bYjhPjp5tOqd17lYB/t1PC55dtnXF+KdzU68ABlhV
ejfAQdX5pJp1MJV3izylSwgXZu8K/G9rtDG/9CFpTnmYAkYlr3AG5ZI83Lm/eqqLLI1s4xlNB97q
DgyhFGzMwI6ctcLNf88nsnYwO9Dy7d1SLjP//ZLWV1+vWV5McuC5MQU3MlQcaWv+rvUpA6A9eS++
zfqrSpRL8dc3Lk5aE7raVuHbGKlfy2t7AARWWbU/kQUZ5dPfgNXlbHmiJh5oXCBfaB27C7iMjigY
DvUXj9IwctyMeLn/bUBI4Ooe6fsdDMtsDpo/L7BN+jQOMsddorvRk92lyWbIzF+JNPPTQmleaOFW
/D13g5TiIdxmM37Hz4RSaCzlNzsRtzxD5FQSmLMVRHpf5OBmlzAET+o7uXvMAXU+dxpsnzpoukdH
hvpxShJjb2BzuQ90zTID2SXyWrcyqqcijLKTNRDZlZNyVM7WggyM+s4W8FZjGXSnNrBdHmAxrWuE
CLmXWyimqWuNnbV2+NTkrGTF99Hq8KCj/6NbBWJyDw1N7CMzenZU6cAyM4Xx2Kim2vWVWa55opuP
rYEzgt0gJTSd7SlPTP8UB1H8yE3UXrfepD61KiV+bqh+WTI2VmPx6Ks4fx1yPpNal6dvOl1qOitO
8nUW9cwRy56tYcIPj1YtB75FgCDHqdssqOugMd1thgTg2JZZ9d4hTgsNHsHJMJPNKJdcm74DpdOy
hs/SKsbM6he7KNT097KDa+7IKbj481VPvLP9IplgLNLLCGQR5ldDGUYDz91Tbr3BOit3tLbmYrsI
9hnpg33RruaAA+zpu7CJYWZolfvieMYNoUv8uFxiY0FZJm2t03LRp8LHr17n++Wq61fffJANJxbK
6c0iKvoGSX2bmVjxl5Er2vQ2BKnc8/zkKTS/grv26MNoSI8mAlFEyoDrjKR+Sj1fXkMhZAowjA+W
gWvzGUwRaZ/NxhTmdKmoYFxd1+mu3N07/iPeBGsXvwzsYBqJjv0dkEK9ttl0rmTm5WduC8hHjSTa
tI7XPtOM7ted20PtELJ7Lmo2yNQg8VnQe1u6t8thaVj4FvsQgKLjTrY/SlFZ5JnOmH0ABv6vEqz+
zK9QCUqNKI56gEJah1/FjY4SMe+l54Pn1v1wWkbLoRZpe1HzwWiAxeeWd4QrwsIjDNxN33bed4J4
afhG+VtFbelIarbBNzymxIewbFXH7ax1QcxzzikZn+M07dd60wfrZYiLpCZefDR/OjKgjpdk0xko
RK1WfGmNXePW3zRMB5gykw0s5afCT/pbkEi6cLHUwBRtQtojq4ngw7uMy/beBaADQuoW+9rX27ua
D6J8Ytl6hCL2sshnTT+BoTuxbMuI2QCEqQAnzCVaz5N/LoyylEc9VU8zlW1fYa/cT6Iwvo3dzZxc
/3tC2ZaF4xPwD+vBE6FAaUaHbdVXabRbJrUIAOCoiYSiu3rTURB+KvzUKz3I5G7QI2Pdq+Tmx5F6
dSrDPmgaxhunzf2P3NHW0xSGn9IdcwpJfF96lpoRAQ8IPb6lmu8dChMzBUyPdC+y1p62HZpaZfOX
aPKcoh4ZQ7sIXyAx12LkBljF2yyxprepEj9MW9N+1/hia4/+rVMnP003IpVQYmWrGnCBhQckVqVg
jn2KViJieY7Q8+I0Y+rjeq/kPm+Q7w9e3b2YTSUutVX+WkZJW//KGqpqdjGtsSCjTU0E8QOsC366
jvaa5OaxR+1x7snnekFeHu5G6U1bK9DzF3vMk4tdsPjmPuY8m2E81dfUIXcX4xZ4daJp937Zj8+i
5YHk2I11A1MZb8uaNomddtWPWDpHp69JXhO1vScGV+7HPqQAZkj3po/AQTrDVb8QxzmV1DcjFfyT
k0+nbGjyR2J7pme828O2NQx7i/wuv47mdKw9yzzrFEHPVXKL2xKfhDcTn8Pw0ZLW8I2M72JRwmHB
0DSsLAoLAdZgXOARHMMfWZvdtKzxXrRw0I8Ag7ztMi/pt+S29l1FQbFru3Ze6060xrGMkToknjNi
pJ7NrroMhZk8LlNNIKZNMEBmUHOep0UT/hiLDsVlrIjP6MKX5YDMEXZ49rwMPJwa6M8NUB+qOQJT
VhYWqc7Yhak5sgia/WoI+43VFEMF00qPHgsbMYwWpj1uqnmNZfnNZ0uD4MMMAFcvh2U49v2n5uU5
92hTPvuWeyKyQ304TWYf4pQVXmTzc2C64ZPqF6VDyhy1sd0tFf62MwgAsDRr5c6p35TpBB5EhfK5
nM52O3mP0dS8goW3/4GWq1mBsdMGbrELE9EfMENZVlWf7KxtElpd4VYL9OxajY9LWpGj6dZDMajz
MkJ4H+++gs0oLeTxU+/a33LN/K45IctCeBVPmYaKmOw2dS1Z2u2hQsXrpWOe4WJxMygZnXaqJ738
RiiEvRN5cG1RrF/GLqFg4fv1URqa2gRWVB4NQhTo9ddrNAJ8y/QOGupsBQi7AI6vbcWoyOIXV7Xm
BSaHvMcRS8+mV7dJz4u7owJ5jnL/53LNt9JkXfm9gNodXMmIok7YWv5uilpn/+VWLvXiu5HG1RML
r8+yC41vht0ZG6dlMyMDb3x3R1a74O++jTHyAqLEu51Z5ekHYsikJl9L01RO9XA+9e0huoj5QLnC
31tZ/dYFQhwaj6BNkr3Cchur8ltt9HuM3uZhcUDDbnQf3Ch/WNzO0vZGPp+psxrmbPBcN8Wu0tN0
vQyneQ5hzCsIfePMlj16EREhPoiHCQkCERv3FsjDDAC+1cQO/TrhrCq+8QIk+SoQbnnQbMxujRvF
9dacHkAumY8T2r8bpTJtk1CXWVcy6S9soymA6k53aXmifZ0V1RknJfv6PglXxZzJQzK1SUeA6pMJ
X4NG4oYED/lI/246BEhOab6FaN7ZSnurMknHuV+jvTY4DVfgR9KP0UrVyjec6jvpmp9qbM3PIKtv
IwLZHVZbkPg8P0oo9GMFvJ5D13t/zjxhPlMam/YFhSbnAURyfQmKebsZxCAVm65rVmXfvWkqTh+a
1hm2VlphSsP+/dLK4cnWII+P0YhvGkjnKjFD52KbTrGxJ1PtrKkXT+RPILvWon+kJ9wNJgpWA1SY
aU2W9lw1yPp01c2aNb5wgip7IW5JRLWf8PkEfXnr4K5o+LjrhhrWy2U5v0YqIjPJVPxA5rgxWw2b
DjyBjaprHTl70N9N5X0u855OcbpoUv/qhMnj6AICQhwJHuX/L4eeiyO02PDWc9dJYoRNVZj90VAP
qrT3ocmKCHsi+D7bytE9xSS4gtmvH7GdOKcyypq1gooEJ8cJgTNFVKTnQzYnMMSeU+1TJCasO/41
t5yloIfGTJ3+L79pnbnhEUrD5q8PdaybmZ42ZBsWaZ+lE2T0W3LjEjQZWzAxb1ntjt3iBsHU1+We
lLAjS1HaGyOYrMA0wGK1uPBOy+Fr/L+udTPe8n++qistNhXzjxJXQ2ZoxtskZze2LXC72PFC4rBQ
Cs9T7rjSwdmouBvZaHHo2mw+ODWFrrE5sr3GA5eaFO9rz3mhFkLDD4Lxpmfz+gLM7Heo8fVbQldi
Xb5kUznczBxbpjnREAxMT7suB5UOnOkhpggD+cr/ugAjfZBBsl4uUOV40WLwHXqESnMDf4/8TDja
67pMfXHGZLPSYr6lIT2NnYcYCulna97d2KV1Pfc6kkZByPl/vAJyv/NmyOpDr0BhTvnPATP52s+a
9qrLCWQhHxaJdOhGJELCfdw6q1Erb8tUPZ+lHl9AnhL1YZkjwq3fjHk6W/ENsa67ot5Hc6CMlqTO
FbovGYszxq53jp2youfIs8YLNrX3IlQhuQx9+BJX8T90SNS7F/jI7IvRvEVOjYsnSgrMeaBXhG3Q
jplkwQNJrDsWNNtRGjgfqAy+FgE3RBHP64yWu2Io85aU2t5bz/fSUzT3nyxTbpSC+5RHfAP5z6IT
8fQGwIB5Y9OX0dpucayAI2iOrobAh3r6s/KiH8ow/K+RoaPLhiQ7EO7CxTSKQX0F0RsikYo114uK
cvNaxta33DC116mErJAoFm2TWbLAI3fm0idxvwrtX9WEzHTKnPN/8XVey20rWxp+IlQhN3DLTEok
RSrrBmU5IOeMp58PLZ9Nb8/MKVeh0N0LoEwidK/1hyy3rUfU5nlEeOUinKWbDc808P4Lza892ZdZ
lD6mACEHOSo3k4LWhA5JGVSuueJlG58QkP8eeBPc2BYGoDDb7rcwgFQLsPHLQeGZTe2qKH9EyKRW
cKkwgc7RWsHnZJHVH4o/jk+YH70ZhB6KqEw3sxUiDqZYDdsseSD6pdXD1AzVQ9uxyv7vIjy68Zd1
D5Ul4ejCwA5T04QjDWT+9PmKBldxmWsu6l6zWbnEEPjMCTN7O81h3xddsGwEpuSyXeV1fVHU7zVr
xBLLyc0ACeSaRLbHGjEzv42pteW5bP7SYAZrXgpDxU38pVWReBoVhNj0CfTMf/8fiL+dygTpNReH
P/zYHMd0/7a4CQdNV+GS9ijwcBl62fRD8cF8OAbgGc9XTmVh58+4FSZX8t5r2Upym8tHrGTDnaPz
RizGqkkefZRrfKs6QYYhv2uNCK/Ne7k5mLs0hI4jGRLo/JZfjAl0mydmVh5W1HF/1wKqxmQ9wLaP
y+dBaHG91QHuLhIPMI2Jl06pF58oMI7LccRcLcvydhmIRjCVZyMtwYUTc5G0zVa2ZL9nk4HBzjZe
KmjkrgV4LwjAWvvawm/O4Vzf1V6fIDMzG7O6OuqyOqvCLRhgwcU3IqI2b8wkqldlA0c0nFYRVTEY
or37xPML57LAOutZ7D41XcGjOG4omFof//2X+t9qT67DLaub/EPUXP/LvtkCHFE4TYyLkqvk8bfR
R6ppA7Ewi79pzWTVm//+cbqFjvq/r25bGKahY0w1S0y5Bmj9f8uG5X2n8fQvfpkjL23Te8QCWPne
esw71FbtH1TDig6eNo6sJfzkxRHjk4wAm/Vs+or/0gP71FQLRaRCGY51NY1HuWekOS+LLsMAbVZt
7WxAGG6QTh+t5W3GOG1ebv3hTGL+P/prETB99wOWIVwdODy7VN+R8nrCnLLbeBP1UQ0m0ZOlmNPB
RBcSGCdNQ1PFOc30u6HOUKBKLHWVuqMCe7zEXhB7RAVNCDa1Zg670myQMaA1WrF/N+gw/P4IkSPy
4D+GZeftNLcYU36AT00hmOc8fAPVoW278JRrprXScir9hUktfOi9n17XLutm8j5zSlqLBlf4K7Is
+baCF0qJLba3s+fxKhTNpnbM6L6ccUqBP8CvI3HusQTkYRHMFunAkoOzh0HjufYzdeMJMl+y7ys6
wyPkfoz9jey7BcsTFgEIhA5I91esPF9nkK0CFGuuZXCegslZ6ORc0JZAK1GrBW35ebOyXA4Y+Rkg
VsycM5rQR/eNU2WiqZQWiOCUcGmnOHQedSUvDshRNutIZP23tn9RUHz6gPahb2oDvQEzsLsXcPl7
I/CrYwA9b+kCiFnjpFPcISk04viSlMw56uF73HxCC7HBmqGrhIQIJHkt7o9oE+H+pwHrj7yz1br9
d3K+LTiOID8blToiqoScMJbizTXtjGeMCfvTbVPCKTqp7urW4/wT0NTjhLwUyVs5KiDM/HHkCIRj
OXlQ6/8aiNSWT6h79ElmDfV/TifDknDSD2Ye/d0vw+AGFeBatHEpm/IvaShxYkWBXDksF/wWNFW9
s0nJPUPE3vaBYr5rYmo3vLqVrVfq9TsSf36yQ9Ou+x6RyVmGpiXQEbG9u6Fqo3Ui8vAjQXVHRujM
YTIBYG+Mn9JMK5+DzBFbBVO0XWZU3pMx1i/MQpzPPnZIX0119Gg2Zb6PR2FtYPLkr5hTwGVp3c8i
HikleZS1Q8MczoWChhWGTq+IjOUb3YyLwzAkzkM4amTZc6X73kGpdOxYeccyNCabU7l3vI0dBGmC
CaEpIqJ6h1r09ImGX8KkyaJyrTvB0Sg6lMpLT/smjJ9l1fbf5UXS9BHiHFSXZ8O8Hv3zMXovc2cj
I4SIwSm0cAbymimbrxtrlrY50/D496apW3XbD+3nrb/Gc2+YZSV+h7Tm+F6KzqFcafx56K2JUGGy
E+WZdCmGlrkSHiYWiCBR+jN+j+MFULX/ZGfaWnZ7zBKQsyBPaOtuB66HJEgMOGUrR1XFJ4tOxpbs
4DyqvzhjEr9kHubWsDm+ySCDCd8OyQaBHCEfBEhHwWcpiw6WkXVLwEBITXlFfofeGWJvRejkJHJo
3zZ6hDJ0m5rZ8o/A2J9+xxTOrBJ3C//a0xBei83ppISz18VgoT1RYQoId8Y8NWVri9XLqMbGSZ87
ZBCuoN066kCnCr+mKpj041vsq+OaV2MFyjcc30pF35uGYj5anojOWqKtEJlW37A0UBdh4frPtU7m
sI/j6dzCmgfHHwQoFafDHc+Zcuv2OTMLCzJK5lIv9q0WxR00Tz5bLJVBVacBIPL7tOuqE5L+6VKZ
anGvkja4b/KQKWpnxj6uLiOe9LfOW5A+dzIPjfcpxSjZP4Ui3/Wmj+6NFopHd/LsflVNKTnLSN1Q
uBiOrd0ORyTuf0UaIGIT0MKaBRRLQtRXrnoD/cJvRfCZIS+EwmIUXFMj5J1lmsnaEWbIlAj8vadS
qt6DThM7KlwIj82yvUxpyntvBM5kzqK+YQmbR598sG1AC2VXBumfheKTNofz7r3vAkTJv6K7CI2C
KXDvZJP6mrKkKNTvZKyCCCeUCkyS5Ce5gjqon3NXymDLAHJatSAg5UeNU20/UAnbyUF5/ORs8SUm
Xzz/YYNenlS9Gb8+2AEyiSAuVAc9bcXdZDbOY5jD6BmVq2zEzP8B5qDBIJvo6ZLbMoHpy2Y/jR1k
0u8h2jmPsqcqWljLTuUd/LkvS9N+i0cGqoTCUI6uXnz3UMJnemtgZIZW0b3Vx8XaaDrlJW7rl7LW
y5+DGWxRZjQ+Yte24ePg0ws0RyVNWE/kp+3hGnCb4VPUTT/sbi2PQeWGjFwwao915bqQAMFX9Rm3
RIUI3Upj9B2o8J1IjoptGHexaZHG9ZQ4P3Ukk06fLto1p3Sy8pPslBvZDBdD49b3IXxAoOgnJ8rt
XxXQwMjBBHuBXhlVSZP1quZ39/htWJ8+ldjF1CfT2xCnwdLIhPFkw5FcWSh7XZpehJvJis+CEsnV
rLDm0q30jRcqfn1gJZYduJC3WGBJnjZWCVipTt/CpFslZpE82y7zw96Msq+jhjFMN2FatmAaOaqM
zFekryycow3BlZvey3OHloasgpVHa9nsWrD7SpMoODPF3StaCr8PVtw7izt3KaPMvGTx3o0aa/P5
1JgS+0OZPqkKt7vimL9kt29X+qaEkrxBldXZ1XXZrpAqGBZ9PON4/aQ6OoCvlwMUp28iGk9jHs7e
fs2498hL425k19+Mes06n5KemWF1o+LLFNUUgLocpON8XNviGtsrXXtfRXyD8IvRM0zr+ltZG+g9
O6r5gGcODwON6Yo8I1X9O/Jr5jPIp2RPhind8AqKcQF20dJyJo1vGXlaHAD7p14B1RBXOnoCYTI8
ea0V3SvAEBZyFL5ff3WojFbJELXUH5KjayEu6rdXPzOic5BjDdujzHMtkgKmR1rVL0FGctFNk+lj
jMdnsvPJzxEAU1DxvwScsU4sQKhkqQ0QxK13Zf2vZlV4RQYcckwW1BvEUbWvMRQxvCsSCMvWRVdA
hg95QP7DoeIlD2itUV/FOd5HcKGrhdkO8O643L72bn0B0OE/Rinj/xknR7O57684eb6/zvJ/xfUs
pu4s8kEggstw66CiuxhGLT5XmjVQPSoiOMBqcIw9igCLmGfAWQ7nFVgl9MBvPXKviIvHqq2Cg2w1
8hx1UKLOWA6IAci2PyuwQwXv1ypcfEBFfJoMlwNBKcSu65MfsuvrY3H0SVgXVcs/+uTu4HfUxblf
uN5//2GyX615nGt5ih3tP2eXn+M6bYIMQO2ufp95Hr79z2+nUUiCLTrN7Ld6L176Se8+24lC/5S7
9oWUonqYkCtd10ZifGjmDxlQBWGGdVaNMoqlx2edAuUysLLus8iHnXAH9bW2E3/rBo21m9BvfJpP
rfokN7wy1Q+u6ztX8yLFHeTGN6hTjX43raX+Q66o4mp/jftzOu42LsPl8ejozloRfx0vm/J40lxj
kebYJWA0fjv372NlnDzBX+f+/dmditAmb9ZyB2vSulhVbd7FdfMiW05vWRc1zbIdVDmKy3MEmiTW
xfOret3kyLPLptyYUZBj/U7xOsGIAJxWUH8DP5XcqVpG1ajL1RUFHh1hFzaj1rpAzlxrIZt65SGO
WZDp+xqO0SVYJJgAbIbYB0TCGgUmigL00K2sbw4C/DXuBuOg+TgGVsUdd2JzKWZhCjlQNeZ77PvW
I6vs12LU7m0ncE8Q/1c9k46vVoHG3qlpa/eUIuawxM8vXMswucF6wkW2OBwROVWOt355gOeiKWti
KAwKr63amRQvAFYbZYI2VJyvjbB3f8W45MR2AwQJl1rNjfofdVo/aCCQvhvF9FwOZfKZWuO3kFfs
t9bMmIIlvfduYT27YFUr3no/G8jp5fZrpft426A8/FI55J+TCqWdWcBEoB/fbUannO7J4/TP8Mym
BVczgnKK6J/9afSQfrStmb/TP5eAaJYDnOE9Fk/Ds2oZFktBN97LUd6y8KqLot7J0TprrVUmSm3b
FckE5xjiRIkFxrTQoagebQ01r7rW4rU6N0NXlBh/2I55jL8CZNTXAbgd1PsES2LNWGY6wtxZ4kRA
/XqxzYbKe0tSJHYa3/0wGpD6iVOn+8KNVApa+Zafy/0I8sZdscTXDlMb1U9Wmj1Umet+xOirrEi3
F/degZDi6CM0MsebCa67ZoknlNFE49K0Iwg2njNt6iFJzgECjme5V1IbWGF+DlPw3wMsJ60tCrb4
y/57wBgSpFd0/ZAaAHC+RmVIhh9sXZinAIedGX14kbU78HesU2Qtr3b7YDPUNhpzt04ZJId7dHS1
Xht4KPM4zhJMDYqCee9fz7oEpRrcm1BDJP8ab+PAdHahmk+PhpP9LFiVfsJ9fAM/wbvUMQr4JI62
DRR/ejY092qbjvvpGNRufF2bcO/KIcOi2baH0lGc5YZJUEFCo/V3U6sNaKRO0CigAk5raunata1s
44Hq9M7LG+eJN5+DZ9wOAFP0FEeTucmF+6NV2upeboberO6neSNitJEN1ilLOaDk88xUjtwCb8dh
NpSvh2LQF/IMt4FbE56ivf/KAPaZjsmGny6tPFaeE/R/KGs5aA3oY4EbVKY+87itllT522ff6Btc
B4MC0mvbLR08wp4TeDFLZ/LIaoYNKgF5+A54IFt1WZBQNgY4c2gVjPKW5EiLA3qBmB/I3b/bKnOJ
jT+EpHeWkeZ/aTmDjzWW+RShPj/zA6W0s9y7NYEtVCuDgvFyUoL60JZWdbDV8vdekI1dshjmkduw
3JN9TemPu6I7CLKhvO8tf83SZThlXYN8jdx1m/YIOrU6qH49nJAswCQDJbV7iO5rPVFAg1n2d79l
Kl1HzcXAmPsjCOZbvhbqMyXMYlWZcKgbuKgbFR/EexNzq33k9NzUbqzcq4gxbCYknC9GW2erwS+s
Z1Y3wG5NJ/wGaPehq6cCf5OmY+Zn5lfXV6/MnRF96ev8irw9SpOqwkuZltwEZpKQuh6tJRaCWMmB
mITF72GAKoflSUpe1J6jX2RPWqE260sBx/kDZJ8Hp2dFfb3fxJ3uXADI+qatnRCOdu/nBwKTQv0k
5k1ikxBeTEVWLDG1Rw3dzgCXRw5sfjvLTu3gpnhWos1gsO5eOmXHmtuOxt8jY6IZa6fCj1JG/3Gg
brT9Bnyx9ke0PJkMFJlbbiFKIug1f8Dto4b5Q4FbZzsY1d/VWPWPpWLsdZRJtgVzmGTpoidOitM7
N4qNfmwcQVdusTgw0uKqy02rofDsj/paRsiBMe4fjUAM97JrGtoUcenmXk+j/njbDML9xbXQghS1
umPdpD6I6rT5HaKGU8MLDghGEaBhAEvJJuXv6Q9Fkb6PKIOBqyuNh2jeWGWvroTSZDANacqBvNQe
HGV65IWjTy9WZsGpKb2jgghevbTQbdyWpFoRkDXVO1aZ4KQCdKnxWChWdpckF29y7MchAIleBaWz
FdBNHn271A9+nvULOSo3jfLDdyn5/e6ZQJeWob5z53i7QDAqDjQHbHcDQdI+RW6sPcpzdRMofapF
w14eqaNGglUSucyvI73+LU9Gqu+wa/+wfBp8RRzkJi4NHKFu7Zst1KAkPwPPC4/AhZjfDhUquEUx
vOOTORRt+dGE6NjWqZFtQ5TxPrruiOc0mlYd1iodyqAb6Gzlh+qSA7bT5tWvvXYf40bNY5KjUcVH
LUlVn4exnA4+qh8r2R8I9ax0sfKYRj6wZ3jXq0Tr4kc4VPFuaGNzqShtwOQZQgPyO2HZ8qKntm7k
mKG6uB4vfL6ttQbxcAtaF4JDUL5kdeA+5MDsHnHmPrRzN2V33MTRgFnJJuUZzE4S16G2xWiTkV0u
xYsV5foROOGwkN1MSeDJmEq/CHLXurN6w0OvPiv2Q1j9ctpQOcuupBlAwDftiI2LEp0mXtdfmzS0
470RO4+3fqW1OxKtSoOksfF5C62MIv7jSHDNW0gZ8H/+fcYpNJq9maIFkKMv3FYD5Rsj0V6HHOCW
6r0A5ZhOADMx5bNK9ZWSOhWA0nbWslna4DJVQcZmyk311dFBJXP5Pzu14z+Mpfs+GiI5Typs8IoZ
5yUv6v7OcLy3zgucCzl451IkZrkFfDssZZ/pjwDmcoowmeCx2w3iPqgNA+JEMS1kUw7Yarj1AxOh
EEpwOrrkinayDZWnNTPGRdOW+ikoIvAIravyyDOqCxklZy/j5ChcHVI7GdKTIK6yNb8t8hpFEN61
jaNvcBCpHgVfADWUJP5RT9+bWa0ClPd3Q9OLl2aC/9bo5tntre5Dm97aWTM071lTi8gGFVBU4aUD
dUiFBpXRtMk+csVXH9EsAfAoTET3urjbUItvt7OCjD07fxip99GZKCDgYw7hWgmzmayVnDR0nWFg
BMUr2b6F1SPgSJq84rJyrec6Dn4B0bOOUOzt57YqP5uhyxDVZKxnQq3D2PxqKSnzX3NkkTqPWZ12
tUxl/GrVZnPSyZOhmmJW8M6rlvt2GcSINiG7buzRnjW++B9VUx59PGOOuB0RYlp3ija4D0mWbUsA
/tiwNP7CmGmRalBpOy8W1srP2uI1d2d7AOpaezlacnEkpmache1pL7EH5IZjfLOwTpB/V9x0PzBC
9Z70vMSVt7CbYzkUxcHIEUTxQ8N5cITQl6o95u9dEF9sqti/2o7fWx/SH2FuVRBNsmqjFaG1d9ti
2bee/a7Vdb619T7Zyib+Dcs2t8JXN1DLQ4j6O6B4W7wLMbyqqZZcOwgwpwwXtIU21OI9zVA4ramu
Hw23Ka99Ob0Ycz++StYq0OrsEAADf03JTno1oh6kI7A5Ecl01u1IX+hGU20tQ0Xax9F6OlNMjaZg
1qstlojlNQ+VXrcHP6jfZCsmSUlRELFkvWkxkpgjwlhpHgavRLtO4HgSz03ZZxZpc67Hqz+auIwn
mXssbdB5HaCgfaFTtXZVm/8tS6nPKgJW66X2jxxdiUUAHfRRxvZYnu9re76q51gx1eTK6+CP2DHL
XJ6ryic0eSCPs9QsWXDwQFoYqLDCfcTnRDLjg2YpWqdiOoEgv7r9s9PBJNNkHVsWQwFwTtWfx5Zr
xPFz5RQhlLOzGmvYY4NkHS0IXetqTIunsQ70RYr5IYjsadeaPcoYod6sAi+vHybF/TXMeEK/q929
pzU/9CLCLT2sw7XTh84xkDpIOB5bTMWbZNOmyvBgDMBW4rDwlpJqFFIDoI7covtnRYA5gOr+biPF
BV1kNgYZwV+v8z53VlIys6xYSySj54HVCOouw2I7HJ67RMTLUAw1YsDd8AyMgNRYkmp7OVqJARy9
YXo7ORqaHVwkJyh2clQZa3uF163KA4FTuV2Iu7aPgbBswgC01x7CmRvZBNVTw6wLZ3YZwUqfgSBX
h2pt92O/xvWQ9f1sWCJl++We3ECJwMRk3jTSyeTWvsV4tj+uU6UIcCckUA5gt7JQS6X55qFPuwDW
rT75iWFsisGqDyHivmeoqBi7RW3xrarG1aio2ja1QmfTdXW1akmI3elFHV/7JPxl8KN+M9G4RibW
6HAF1+NTnGKWoYdm/i1JBBeFoj4GpPUOao1iWJ7F6rmq8mnTgZ2+M/z896a0y3rfQbn1WYXcdRA0
ETmZd2WI3JMjYwOSfCkPVpJ4povPQVmUwySAadNvUPMy1sArgxWmOdprZULDdmOgdrJpxOKhC5vu
UoDfgaWOo3Y2QEUc8J7a20ZjX6HXj6cihc40t+TGHVDsFJlmbSAl2tekBCA5WRh9/ycA1wpIsalt
fPVZVmBfKeVtzF7tzzysyM1Ezj2yhY/U39KXxAnGo2+iwWRNWvpi5wAbJlNFLWcexdB53LsFilJy
FKCRs7Wq3F2lAx4KpvoY4eiEXxIbbFV+b2TfrSn3/t8+h1XpTiV7p8Xcp6NWouDsJSmatoV576F7
ug3JqR1bxy63Y+E6x2qgFELWsztNrTpsBn+Mzlwp3HdMM8+UWqy1GnjVw5DG0G0R278UwRCtYyBY
l4JU1mqK0+paIJO1qt0YrXW7sVa6qa6sSfEQMCPWrlXl+zSO1DFE5L9SlQpWQ+0rD9oMzEPLyLkL
dOwT+iCztiNu6OeopJIYhaJ99uKhw5OxyT6xUNkreWNssp6fbITGAdHEO/W4NT0qnYPHZaY/aH1T
nHiDOY94apHwspV0Iwfd0Nbv7RqJmzlebvBH3hadyB9kCxJRtmoKG7U1zM+NmWgfulN99udNrNj1
ou1sbEbnAXKTKIbNe7eBW58cKErvP0dM2sEJG/++V5vhatTDxFIOvrgy5Rnm5W23qlmRosGcjNcg
bfW9Rnl0IYOHpghRQxwxaRaISwjL+1GmrrIbOqs5t4OBgUKjph+FK9p96prxCRb4QkUujmWlgeO3
FYid6kbRRfaZrI2WU6HhITqHyIG2FPU6wbFh9dU3Dwzp2G3H1IjJPc5x8yY3Yt6qwxW9/GwxGRNU
Dp6Dd+m86fKI5dY/TQs18aUmBNkI1e/hZWS5ceCFIdLFYPvMBv06u7e9YFw2Mb8YxZRqlw91tM+s
Tj1HeuWvtMao3/20PdZFyG9R4qaAerl9iEsIaEu5izJhg8VTYD9hOKbeSyinpqoQBDGIkK0+NL5a
emfrz046kwcZC/KclVs+abDIENwWdgNuUnOy50YtcLLNB2OPsGb2bFL3X5Wd4m7lKEKQ1jrT1XLj
o0e6VtBC2AZh2i+QgZhOoTW6Vx9J+cExk/cWCMYmhxm+lU20EDYi6lCs7HEm8SJS4hBwBuDviMH1
PAvVyg8Ay0/mCollbEg7jXtOMZBkV+H59OBtfomu3FU6OoJKpTm7eCoipnrGO4I/9qGJzZrlYa4y
E1badscDIrrIEGa8YlmZwNGYvuyt3Pjhz4r7DtV8Sn87hMXdq9yItkdlCRHC9a1PKz8Cx54u8hDD
RuZL0dFY6KWGP/JIm9YCwomXs3tNhfCofDYoSc7nH8peO7Ag6BZaa0YvFFb1ZY4c+n6amziueYsk
RoxIjrY1ktLlhIYABKWYWXvz4XcIvZttFb2Afjk16EE+mFFC8S4GjJSl2kLNOxwogJa+widCy9Ax
nyt0hc+2HX+T3eZQjrtIR6dENpvONoDhRO99Y8J+6uNnyeioOi9ZB208AHpz7DcFJuBgZhhOF+0e
ZPyIFvUAcXQmeSC2cLR9w34s1cA/Yr+BkOlMCrF8KBmTUBK0WUAr/X+nLuNdaCjbHNfL5RRU7box
QfgtlKpooNb403LEymqtw208yz65Kcyw4mWbxoDqMO1b6+Aclj7FnA3i/TgOqBH4MVLwzsbqA65L
XYUA6VHUT5r01792YqvOfjUjti9A6f891Mw9GOftYgjlaGsme/R+8uNtU89OyrLZLxO/S7/2b71y
SDY7zQtXuK1A7AAVAQr3nyNvZ8Oo8J9zSPPl2+FfQfM5MC0IVlaOsXRaqNV+TBSDm8VqXhAXmlmJ
tvgJVKsYevtX16i8T7rgLYpEtMrazH9ICpHtwqLT9/CVkIpsqmhtFFCFS1RCfCQ7VH30niwDyDrv
quegUrynzFHVa5EWVH9T70kGKHrJJKVQ4f/TFbv6MwBKjB3m8GrkVy+D0TpUghpLC2+vQ2nvOUNO
Yo8SIxX6uam3U3PHLU1ic26iUW4dPdagshWEbvXQ4lIlW+1opI+tqcFpmTCQmcKzqhXJU+0HPJhC
sQ3jOr/ISLvzqKcg9QfzKwUZrJbA9mOsVeePSGq8iCor8tEVhQQxRuByjTGGX+aZ0YPlNdGD3pbJ
ySOPIlsdrw5nkYLaW7UkTXH2IASzuw/bxT4ASU5xxB1HHNvRd472KKIdqoDfZL81D94i5F6hTO9w
YMqdbHlFyKIp7YZlBdHh4pQaOdNc6bfN3JR9RgnGXwunadOPNsiHeYBZaYP3yQTOXDHDAy+EnrWm
BvPLDnXg9GxEX/J+gzeo3dmdgG7RYyaPXtG93qFnJ1TAZgM+9x/4vK3GaQh+lEk9LpTaC68YObo7
BzfhrWor0RO0Cmi8c0gL62MSSDTlrWioxPvWnZjX3N6IkHpHeW9hJqrYjYMt9gHYNOBvbfxROZgm
YPrwNIXA9YIOYF6kOfFHb0Q/zampLhpWP6dOKGIh412b8gEqh+CzgipZJiOZv6xXHpniK49oiu+t
trbPUIAU2M6CAnLDqk1GOJztoJmkz2VzDCbzsXyV+7aT+0+g41GwJbl0kH2xAl7btGbFmPlkZeo0
5zH171Q8aaqlENWFxTkSR3IQs+YVVYRpIw/tut2gT5QCRydeCiYcB0/1GvykgGOFrR2c3GHgZkzr
u9TRu4tsqflDE9slifm6f2yTBlC2yhxBgyYaxK8lf9cq4vt+CHgWb+HndQdHDY17taniTSyQ/LTa
IVq2Sd5/hFqIY5wPzgpKLcv+5qehRr/gg4xohkbWyooK5LYjL3koFAX9yNQk/aSbJAC6Md4icw0k
bB7tu+RgqSO5LVCOwkMWhWWj8aDn/jl1AEkmCN4ezRZkmxwsRL1KKldDAk8JYGVMAegmpj1jy/ce
z31yIA/PbRxEF9noK0PcoRfCUoRw2RVlQ7fJEBtYQU7J42VHQWXh2W2/u50DfB7qLBjJRJPe8107
3bZThwN6DOLBr8P+Oc/mV16qnVkf989BHL8Jyx/4sbTuecrRI7dcpTkiKtk/O05RLpqGlLk8knW0
vhCpV9/JQz2X2ygk+XSQx+YCmR5Ysf4yNQUAoSio74sO45kQo61oNKp7TQQVGXhqYosiQAaqcVXM
IUlAvKS9zy0IAeEpjCpImUXqXJzMbNZ5WKpnS2/1jaGQmtScPt5VBWLGOqtHFER1sR9NFDO00cp3
dalWR9Po7A2klvbsspJeO2mpXUCGQeznUf4E+AFJKqOfXqpJUynbOsV7QL2P2wYhANfC+gWn3YuG
yN5P24+2HjkF/IhREc3cJFp4/SVlcYLsLn5AkIC6nw7cwR5K36fZNT8pPeqbCpWcJWwe5SGqO38N
QwG/lyr1L7IP20h124wCmZB/+tpEdw4TaZ9GT3x/CUnYPunJ8HWSrz7H15e2SrG1+OcoJzHfSPKK
gzyv3DBZx7Bv1LC18FSNRTO4atSY1TWTuOKAcY93rV3nB4404WeIEgwYo8i4BFaf3mEz46+l8xHV
ddK3xTfFLFFaUofiEE2Ve3VV5YcclwdO/xzI3PC1butPZKyCa9igdIWUEbp3RQikQqVEBBqtS3Lr
IsfGoOy4qOuPBB0VaBpeWm08FSeSr9g0QFk0noxuJ6PlOX0V1xTXrU6zmzDKAHZ3yvJpKwPK+daw
GnfYuZ7qYHkxn7QHM7GaWCltvtoxlpc50zW9dao7eQRzJedi72+fMSkVvj52+v32v3A4FdggHANu
fQVSkOgjBOZO/i3y+GnQNqOlohEz/9+7YGClNIX720FMjYudA3oXUkroHaB4/fz62yd4iKhaknqY
j5R/mNO1b6mb6jBP6fK1rL+AEJUNeULN5vcOkvRXmCTMI/WoXBpFXt+bVhWhTD8BPknbPdO6+qVP
AmtXZ3WPRMGkfRTwqZEW29uOUe1LVQHv6hvheShc957bA5bkjA2qjF8A27QP3JDGtWUb08HoVHGR
kCEJAZqhPrVZ90/I41i7gutqa/nG9Fr5JATmM0SOlZDg0kkHmcK+B86C2u88gEGk7wjro2Cdtibp
A1BoBhDVzvB9bJmJUW7uN2rQTG8Is6+LIeg+DSSp4XSr9UnvMUeaNMAfuLzoaLCIcTXAaRkWOljd
I0wDiJCdjgrY3BwKszl6Wk15AHZTtNUsl7Vt0d9NBfWehdyVG6sa+7s/RsQ/bVFj4swcWIOU9Z8Y
S7EwkiVxv6aunlc82S1e4/9ssnmVemuOpT4dZol62dXP61gj5DbvyvKArSeCBiI62rOcSJMhNiI3
vDDRbfaCp1uX3AtnCkFv65+FPdubBcw8ZH8WFeRFvw7FmSt2mnL31Xc78dewjMnxadggPpQioNM/
Q+Mo3odeYWIqauOaVzjeNYqRHGGz/Q9j57XcuJKE6SdCBEzB3dJbiSJl+wahdvDe4+n3Q7Hn6Ezv
bMTeIFCGlEQRVVmZvxF7imrarjTN4QH1ynRdp0P1DIsFknehZp8pwNmOXfVqUxLBiHC6FihpX6Ff
eY+dDju7oHDzTtab/G1q6Tsyofa75jkrFMjHl8HXwjN0LPjMc/+YUdx01CQ4KobavldIFM7dZTD1
h8xgc28LxX43+wrSi6Oo57GqrWfyRhvZX6D9uNNDfVmC+diMU9VerEatVmPZuy8aGyyOZmbyvezE
IVNsEEeOsusTMHqkj8JrXlbVt5piFHGeKJ/5xwTrKcuiR7cW/k44zYRnWt6swtqxjgjTR1u4l939
J1it7ryMHkUe+ROQKzgk8id4Ckq1ZniykkJZJWpvbFEmb5bN5GbXbr7oXa+gG+MPO1wLs6scIBsL
GEq0F9mF3UByLB3jp5wvJ5C59tcBumxrHjglXoo4f3X97sVH7mlrGJ5GQaJLTo7qviNIYKbLbATa
MfBtuY+ieiie6gQ0QC/SZeLWN3JyuKUUgQWJ38/eMLFtFopJqcWpm+zNV2vWZ814blHCf2rz/EF2
903jHerca5aGYWVvfZb6mxqc61aO4n1ioONm9ic5qk649wh3vI2TpV7Lut0jqu+uUXPx976p5Ieu
NHIgRVVzlRcDIWb08XXqwnNfVhnN1QHK2dvAT5O5VaiRsoecVFOJzyk3GgpHGhOAw8IzW/zQIBe9
lJ6RbMjT+ht3bprAMLdo5sXr+2gU5jsSO+WKrAJnNBOtdB2PKIwap/qlgVZyQB8bY7l51CxJrgE6
54OZ36oyex7oWkRbFyXc++upAMwY7mc5oSmT8TJl/VG2zMymDhzk9x+cGEHwbDsflVpMoG9QPSA9
+izfxOf/2eFbc5Mvc0t/NxZa/dTjX1ZDhCrgU611BUMp2JBQeNSxR/yP5a4n7P2BbM2eeJ+ohPQf
gZaCpkyGbGweO58VQGVII7V+safssc0VZVnV4fiUdUq2aVq9PEeVQP3QIJoK2ChOqEiSjBGhcdH8
uF6NAwgio2xRLkU+aWknNcp5/tg/tPISh7jsJo88pP3DV7ds+qQwtplBBCybWeP0D/JOXiwk6zib
ucVavpFtdyxk8tbTw1PUJwhUlbaa7CsKe9s59jtUyIeexgnDYSfQyUFzXFkO+CV8U0v4VQ4ioagL
fw8tMfxyrPZX72Cn0Fqo1ZlW9ptdTC+PJj6oG6Gq9dX3lVe/d70PS+dDI5mJpkwy1K8t1UYhTOVD
izBBMmJL2VZqpXwk5hYNiuTDWzm1Zi59rapeuyytt+jq1GvZjDq4AKJscjyjGc0q31tq5Mz2smnn
ir4QCh6C99fG6acfls5iinESmeX+dcS5QIVwxwH6DaO2YCe7cH9CN8RMcQ0lxfhc2N9l9gpOQHet
2mEjW2MD24Niy6NsxaU34HZjfsqWLkrzFPbRDL8m7ZWbWnyMdJCtMkUWhMa0j5KZRTIn0PwSnykx
qupKTvbSFidagaWrHI2RcVqr6DXcf2phDWg4JGMAcI7XZrC2l00VtHv5WgoNgBGF5h5k8q0KetQx
4NCd5KjjjD9IypYP8rdolPaCNA/uHRVaej2VhUXiFNtJEervGuYDWfn7DXKW6m9ACpt85+PvsFOt
hu+EZx6DUjOPek9leiVvYe0Xf25l2x/MbAd37uihZ+vGq3xE4l3i0fJZvv4vjJocGPR0BSJQLINI
2WI+31N2sPsPhB+p5VGvR6HwHbh/+kpmyFvXVdofM+yZyOBBN0mh9VQrkZtIFYoO21FovI9+oF4j
NUIh2TLrKzIDzXnq6ocWM5Cr7BobyI5FjiqdbLJr4M7iNVgnO/7ZjCdypPLWbZRjwjqyly0/zIm5
xjnYkBUF3AUS7SnTFfXgOzgiZnqbYRUb/LmD9PXnTo6iPIsa2j99/2te7/UbJY9CktT/9zv58+v/
es//Ne+vvvvPtthvuxgppZTz4sLQHaRIenc8lD55ksqB3lm+2nEZfm+UGuHK2nYOCd5MlDpKECk2
jCh8ZClTqs4pMwf9NhpYTxgTDhw1WKM3o4AMlufpFYCwezPdZi27awF62M9rA/8gJ39rYrSlnaSL
NmMUVZd0Si4EsO7W7Ft/CZehD5ZAI6imze3CU+fy8Dxuf7WdDH5ybuxRWBrQBhrCeBE1ot3drXun
ATeLNva7neElfCFUz96ogC5XVcVxdEJtC6+9Av8kc4nw0fietUN8xNuM5uy3oLvln1nBPEv5M6tv
rT+zhpk9J9/LUxSehXkWOqfyxSDb4qOZY/4r3zpFQGep6gjAZb6NUqb54mbNcKr45pmHrn7pbX04
xb1dmgfGUhwsUTrKy10way5J5cQuD29d0dtH2SpnqYM+9m8NTwpWNVnBAanWjpplZicD2OnGqpL4
2VVKzCbAxP+E+7XgAFr/7ivM7LQSC7wegcU2Q8QnTfJoj0PHtMu7zn3MxaxdzaP2rkdEIOiB/W4i
exniX/tjnBlY3qRVt5h/y0b+TFIc2rLBp3WtkNpelGarvGYDpqyDk7KdzE241jEgSvxOZTMdGyIg
vTNPsuloyS5BO/5qkvkBGkumGD1yQNmmd85VMMR2V//E64eiB6jgGsw/cYhltMFNXkJb/xGYjnOs
jDC4FdZYbFgfSsTzlMQil0vKn2yIPW0n3UZnqHX6jyzIt52SRj9VA0HJJq3aG1krZQvwe9yZoA6v
moH5kJzijd2qokTxjUQgEmINjjp2VKunSCO7pWbW0zTxmbt+HD81DqDrluj1U3EH0OkDx3yvyQX1
NAdK4uyJqrX9Sth98e5UdrtV6wRkOnDEN7JpGzmhTDFqkW+ZwDpEZzZ+1iKd12ANLD0u5lYOOOur
Jcf0QNWxsNBXHYLsV4jP6dGO9GTBh1BuHKAoAMYqPCZmR3N5JyXmu39G5YD0D/iaguabsUJ4KdTj
7ML6YG+GMMEjSac2CxCEzraIdpGqilM8t9gmBMVBBV/Aqs8Bj7rtIw5fxrExCQO1CdBW1WGjMAtV
j8EHBDIYG/M2Qio8XmhV4q0jFL6rRYzuXLWQO4i8fO01qRzpwq0uBn05hjh/jR3IwnVT5wiVu9Z/
tdOi+PBqsAZSawIsKAIUUnFCDRXjIDywhrP0hNSfQEaMY4ds6xNsJVt1w01lGNPaTlOlgfitEudA
+wihhP3S2maGn+Tpi1vxtKm9px2joQrPhNLJeiLae0tF+2q4U/MrnrNWHL4+yx5rZ8Fh+TJaItkr
lhvsjFToT3iJB0uvjaJPIexFLVB6TwJKgbG29/lSreLR8D/QdyX/P5H0NRWnIiZNr7K/j3VkFOJp
2hLh8qliUtyVavtc49d1RhfaWshpxnzeCzqWOMsI7bciutjzD4nObauKhzETp3yozJtUn27r7q0a
8gz0F10DwqMbrxvTtWwWRt5sLQcwlDFo4lFtfPPRsApEzlS+9GlQKyg+9iSXFBeFt3sbrMJ7Q5C7
ly9xtFI8gqVQHpLhJHssg8MHMpiaBSOlTHCJmFVKHKjKXnSJ4J84RNm1vUrNCNVCVaHtjnr6nxkJ
KLDL/SUBWudTXggEbBmXA1Gk5BuQTuPyzxvKmd4sgeL8M132fQ3MrJEpur+n7JU//uuN77/Dn/fz
ugmh268ZX+8l75w1wBXy5GWmLbohIgMGfnOf5TlOtGOuPTshZxkAXRfZkhf0oKvKKJ9lI3TK5w5h
zof77BFFW73r+r1sNomH14OOq5psemparCYX1cqkQH0lnnTjDaO8ZDW4hrOXTafMTkiPtFe8yavr
TFKS3bHZ2Pu/XkQZ290PUWG8/T9eNKWkgt24JzWO1PyOc4+3huZZLYpUuAjGxs3JwyJ1JRfFLPQ2
EUpBb31eKdsE5vTW9tThvaw4Hs2Lo+cEiK3bgqqA73tPNaH1opkHBkOrFj5wTjONq/WA0Topodng
MQICd5Z3tVvj693m9XLq9R6BvseiiJNvYdg+TS0edIv7NSDNLAdUeIlLpMe7W4SV8rqLdOucNAFG
Ozhk7gXb9FkOyClyslEq+TVonSeAt1jWTNp0K4yk3LboZe2Vygsu1KZ60jpN/302eTL01P7pWeje
+TkIMov/hNd6j0k9xM88oMXRLkhxSD3VdrLYdt342W/cP/1D1ts7lyeKk6P3X4uhGXQc6SYPd9r/
ROD3VVO27wukh7XEKlB76ghDWz/ihYWGdJxueoL/YP3VJGfakwSqm41q2M1SqdryZSiR5JR3si+o
6SNhgEEuygvXIfbWjQ7nNG+L8ZuGDO9C8XPtQQ1svuJ8oxbBrCjz14BaqxWOc2y4Rdqv+1R3SS+F
4zcC5wPyxuVLC2XwIPvxQqff6g+e01b3/lL3SMFMP0AwghrHOWmhxSVGN7aSPZQ5WOV5IAUlGNaR
gYuMo9UHl+z4AV4N2ehp3JglkqxDW3a3PoOPOvZ4RZLjKZZIXn6Lwmo6jYXX3kJY9GjTudbyPkr4
IHQ7uemkUm8hNK+VMmkgacgT7QVo9wXeg8NlUN21lO4SSmPexhp2tygdcZRNkD/ZFkuTetUZgXkj
YZctrKmx9o5KcMo5BuZ1nLCoVXa5ScohuOlNEe8npfTuUk1QP/NV5jT1OpXroOj76DHrXoN5hQwM
jdyjmYQbvtRDdXQ9Y3hK/RYxCo2CDBIONz2m+lOgnPWm658d7ijsiMLa2aC617LpFtZr2LX2U6al
5WM48oWV/Z0OGQJdMuPQqaif4G/f7qzUFPtEpD/kwva1xOJg7S9Sq6z2csDqQuuUm/qxTFAdBSCF
iF46h3Tqdxk0T3gxHmyPZUlGx3bmh8twg4Nfcutx9SKL6MS3TBj5qp/vxrlPjip98+fu/2ee1URP
+ghTqCgb90MzQYOFcfqjhAdHSV11HnGDrI8NsdLawHdAwdhKNxsDdbbAOYYtThoy4ro3B2JWM07Q
4ZqiV09NzFWkUfgileshI0N+UHGF/eo3Aq8Mw/rpZ9axjbJ+i0Ys/10zU6FZDqR/kDRITyDn0Gif
71B6gQc53ylkAbBaAesEC+MlRFZJrg2jqrmrom3aAwEI/Vp/kOLMsl9Fm+OAgxWBqYgi9Ibdj2Aw
0x86a6U7iOG5EcQYbZahUT+V0/M/Eyo3/paHyfi/JjT+rxbPLfw6+DornR+vMkxtt/L7OwqvODZt
my++vvEomayEl4d7gFfIUQjoGERw3c+EQ9s+Vk32xhid8z1Fvd8yamwahKt0KaoVEyMuFUvFJUwd
LIgLzQq4RPojJV5ajl7iPaLOVh5hTy3SlM8ssDRrLT8XY2xXKvr7aN9gu5d48VWi9OSl64HndHBI
cW8B0qejxR1Eull+n0p/WkMvXKmcmT5zK3SXfNeix3JEOEKxQmNT14X23ASzGeWcbZhh2SKxngW1
w+fEIaivMuNFttomWaj/1SqUZEJqH7sIjpSeLTAWDdMEM021oLzG+u8GIDP1PGo3CBCxqRbDsMja
rjnLPZYXQdfY9HnyjG+Tt81NH3B5WdX3S+SOqH0bqbI1Zt8FOSAdGORACx16VXcqqDNtMG9JFbjn
ONGvw9zyPde8uZZ+mbwpfZBdXgAzvEoac62MUbYca8o/CvqP4WrUevgHcxuOj3ecpbCOIlEYkbfy
klnKW5W45Q77b7FBFnpYxIUHEP3rkPE1Ik8aXwPyDmsSAC1O9kSdny0YCQ9jWU1JvK76imRhjngS
4kZip2O582Qmwl/yFcp+RqSQ5qerqG1ELzFgv4Re5K4D0tGvpRJC453QfGRVyXdR2nvQfwhxMGcs
trlelYexd6MHzOQFVh5q81YazmvYCO+XZnNkKUb7u3xROgzfjAEDQpk28PW+fkTSPjjFub8L55bs
koOyfyIV18sMhByNXASC5z45oyB7BD+9y9YyTPm6qAT9bOHtjyro/HsMY2ulcUpdUIZV4Q7vmlsc
tBi1bdGG+SOItGQh/Gp8t1RLXRt11a2TLtTRiUry89fFme2YiAKs0+Cu/ur+anrzrKDL7aWSEDHK
gdyNEPIMPKQxMXU3zcz9ZgYuMJIU1Za6H2ALT1aNtXohvscIuTsIswQLoWLeCmQyWGQQ6L768BTA
qsmCqZU3ZgTE0zdeHCHGA5qO7AnzcdWbm3+NfjUJpv49+eu1ZYYwLOoDZ+JA91FeOHf3mafeG7Kn
KoW5FYIlXZtZEV9Tuww2PcF9u21RmH0ECDTbSfVg2BY4zGnHZm5WCpKZOG2HazXT/OdCyRw8NcNn
TC6wepq7yJLvNKAYl/t8d6SYBvNkKwcRSTb3jpLBW5lfYNqVcc2Sdzn29eOo/ECeC9LhCX/YRQVc
X8p44yaNkKiWfhtIUIKXi7WnhgrZNkfhASBQK041VUz+92n0PLoIahHSJD90IgyQOt2uNUWJNgZy
+xolun6mUSAGXz3JLsAMf3c5dEmjVzmri+Mf1HXN0wTQ7Fr2cFlLI3029Sh7Zm98z+B/nGUXWmZo
0VYCrOI8qDkJBn54ws+FB+ua4WFrJUO88pBceasz9FZb0Zr7il/szRmdExi24qrWZB61zDzKbt7W
28sXmWVwQSoIQWltso+SBQJc7BNJHvMgZosahDY3cQ26T2bDpDx55glgLXYpdjI5Jgdkn2GMYudG
/p5cJipQYzQBJ5t0cE/k/OKyhX6Eb8BeNiFqQSuG3uj15vj3NC2AIiOnUfNelRiNvWRgIMCx1dvW
hvZT23Ddm8SyEZm2kx8NjJ9By71f3Ygq0AhoylVhuqgBGH1gx/1hNG3kj1tR87cYABhg8MfQTUMK
TLiH/nU38B1RlMS/sV7XiwAQ2kVupsmQR1iqDfFeNuUAR2tl7yTBZwFL9OJWuDzlbWTG55Fwbsn5
DMnyqVGXMt4UpRvcHM3bOYEXPMqu2D4nwEkazSLpqhcWTs+gvxcNWtIkr76rDonWbOqCG5Bgfw9i
KN6qZNpJdyiXItfKVdyVlI2JQB7wIxQPzqTYa20g1m0a509f5KBXxN+B669w8pOcB30+XCZWrqxt
5MpOStWgWZupxotsWm7R3fffr1G5ARfhwuRxqBaWzNQgdB1vw7b8pWco+izBpecrzUBtvZirm9Ky
2VWGzTTYYDJnU2eV4vpxhNhW+Jayxpe3JdtJPuvrAuoHG1rYf1+fe8X3eTP9UoxZPiTQc2eP6V91
UvsGOWRL9d1VRwC0YE9C5DlOqiuSx+jkVJmyk7m6fzXnmFM2NaCoaBwo/i53HYLSrtNO2C9pp5Zy
0rZpxDfZkv3JpKOeLW9TiuH9pOBi2ATB2VPQ4mh0HK+crArOViY4LcsRlCy8NVXsYsEjAb9vLjPJ
eMYbMF7DtQcb3RlZL4Z87fea/Vk6Tx5Qrl+VP8YLkNP2SwiMj4MIUU1UeNp+SJAe6dD5ucCDIm9L
HPOOLevrWBf2A6nWYZX5v6lkGeHinxtF+c13Xg/5Nv8ZUsDbNHeqrumCFhoMvmlTQDodBdqGJUQY
e0nkTet81+itcSuJ7S62b36T3W3cN9uu8uJNPbOA4zSpFkNqYGYEvvrVCBuAmnH/VlRZfjCUzHy2
XZukB5hYDAS1FSYs9iFubPHsa+5Jmc+fWSc0Tg3Vn/55/l/9CNpfMegU5ffaQ2sfjvytAqBmW+yQ
eVmjF8+2fjKiIX2usl5bN35AtQo46DMJ9elomSoV+Lk5kufG6joKUG83LOxpU3kI7JqZId3nB9ks
zQh9KkX57LQSoLoHgxWjRiU7gNUPbnZlhXJUzvUdLBp8UAWbfwUbXStWoyrK5VefzJ3AqYGX1o/r
wSn0xzAmMp6fCPmksJYSitng6u5PyTzQGIio20I3DrJPM1R9c3/qsjY3tn6rweSq0GPL8BpbEa1o
t3DuA3bdHVvkMBe+FTnLVA8qxPC7ld+29k8l4wkWCEI9F6EuNuSUqoMShik5Eai3kJeN8vtdj1fp
8+lRZv1T3cB2aVIvsmWRvd0UlDhXKsbcCBTxMBudp14glAW3MeAsLEcLMUwXMsy7SKEEBuwve3eS
HKfZzPppleLJ69z2rairat0PY33Si849AWBExlhVFpMJYrgG7vWm/XOXT9XNo9jxNPSG9Vg42sWY
n+bBCKxHZIYvMuzxSCs8CloJPnQ7hOtgbtRE3iwb0c4scJdJ7OboBF11C4umf5zaFNBjkLlAR5Nn
jNnzA1s80lr/xPJG9I0DSXeNIRkQ3YOaAjYAxneeMGn4IZmlbazL7Kff2MHZT11yJt3sMW3NHl+G
/rNCgwhFSxpf3dKEeh6zO45MCQs/Enz9qE7HSQO9pARjgUDOcM/fN0hJLHUEZRHaEf0+cxEMNKom
/o4YLsl4aNum3d4g+sHZR+d8pSaRCqMicPcFHENsBVIQG/bJBdGxccLC38oDUhgNEAOdOn/otSl6
m7q1ibblm0PR/pzr4Fbvx6j5RXZAjtdqMWrInP4sL2aWDmdjvshmWpIwnwoHQ+8iw2BHi8GfohyJ
PblagTj1jeSBEqb+wp2DeI+Y3E1qJFD35ifQnLL6GAyIlnQyS+OoRIhBp0773lBcGFMcSdEbVFkY
8DKQLgb/q9mpXbsxovajD8KlNmrsgUgmEzJXFAPv392yqB4KtQTaVcEjSmbcjvrezh+hn44/wZmk
r+ypxTrNwvQcZXZ8VKjHb9yB5GVSYJUEMAMAWNA9pwW+9oHA197yA2WZ2Za+lM2vgYGKK1H+PNHy
Bh+YxlxX68NhXCkyjV1mZrClcgcRXWaY5ks659fVIt+zDvUnkGMwfMf6QUaMyDYkC0rVYo/gUhss
ZXsac7EPWUA2ejxZMHWrJld2kTCbZWy5GVmTRn/q6uQXmaL0DL/VWyKip0DWaDDtmbdpbV5tomxa
oSCgP8oW3j7GIdYn8mY4IVB7R2F1MdjpW+K37iJUVJ10lfCOuhIoRwed3mEv243obGAYYekuTG96
4Uw+LushK95yNmhWKx4c2Qwm8n1GovQPUWrlb05GhtatXm238i+N573JXi/zMC3UMJya6kRfaWDy
d4AxNvL/1aXtZYoa/b3AMGglMoiX+fx0YIMKooUi1JMxmCU6s1X3WcMjD50Vqd/0h9JjmyJ6e7jU
Y28dorQx1m7Vhx/lmG6sGAsSuJ/k9cewWuNtpHzUWbzC4ptETwr0tso96zFGyOKIcX0yvQImQz44
LJ6rvPUf9HkPssKmXzkOB2F8+TJqQ465LzBxXlbzHgRUtX8iPEarm0H5Aj3W0I1dznWrlQUMbZNl
HcGgCFBl/Fdbjg8k/MESCSQKDFIJwp0+Ecx8YsUVz5ATIWMZikL8ZFSfyU1LOmyFBWqgbkgaVOuS
Cm2W4d5fTeQLrU43HlSIoRhAOhfX9n8D5nKuXWoaSAYD9VCpDrDWpaTd09o75egIbGJFNZ9yVYgl
Yj3tG6askEDcxvsx+WJ9hyDqxOMoFFa/OHt+g5Ohv2cNck09rkSPBZC+KbG+m0XCoz9vqiQS8ASP
vPK+A2e1oxzRNv0uFwd5saaqAeqaVvddWM6Y36MOBuzICoqfTWoRZfnid+TqB8N27G+dFWRw/EFt
2ooFSbs2czIsVXVKZtrEEIrh5jXgPe3ezN7yyV1b6NPZz2kJ3j1H16vV/XWf2NEhAJShATNP6pMz
TCWlnhFfdrS81DE6DHWsGm+sXVj1NSx/kZ2SU8ELQ3LwrV4bL7pWlpf8t+yQF8nlx+xTJY/bhTtp
FST7FLS/tnpR/s6pk7QJhhwGSg11mwf7gPM9JswETFMxLyXtsZ6zt/gh33TH1K+ozFK8Y8mDXVOu
E5Qn1jDx0HOcZudVhY8igl/zze3R6jX5mPSMz2t0+u/DyGfQGfF4c7Mk3thsySfk8PMjiiHOpkGs
52oOfbjoSv8KOtwW+9hBB1AtAARizcqi4Zn2SmkGf+Og64GAJCD+2PaMh0TPOXZoQmc5JafDF//D
0fXujAu4wNkadTVDhMXbqLgBpt5AMMy56RVajK1LXT7I0Tp9IjMcv+ZelF2ADL6ifZ+8mRcr4OmW
dTg1C4qHxvKepWVTj4TD89Dfh+Q4FPgLijL+YxBj6QTAOFj6RhYc5HRyBvpahalyt9DFo7vlESLP
EuhJe7xHQrYSAK+EriBmbEs0p6XkHUaF5dlAAf+rK5gHm1Arz/C1rQIQAOvagwxNIU3A7VNSbytj
URhS4V7NRIU8CwuBbVj9hSd5ew9rPQVNk8pytlAbk0XCOXYFCqhY459dPzVdaV6mYSsz5rUzTntC
BQjDMp+e2v9pzmkfp4vU++hfkx2gBPs+DdODIgL3kzjAmcBRmp67axIdQzYnoXAKjReXJPyNbVVc
daWvt4OKpLrcyV2r+NMs+8J4gVt8G9nwHqy8AZ4A2U/GYxGOvpe6oIw2/zpyTLbm3/WfmVpSp5c8
zT7yvNXXfixozXc5otEX3w//3H2N+nysC4zWQ3bXS9siiO5oAP45bZsXnFzjvZXhLMCSYF5jvRsW
oCKtn0yldJ7d/8g8fi8qP4WfN6dSv8AYhk4GpUzPf2E0ZFMZ3oW6NHOn+Dl5cI7FyMKBnRWE7dJR
LvgxKBt7iM0jsBb/aNb6uK0dEAidN3KyMuv41ZjRQ56dZz966GK1ps3FUgA/nVq2t1oTlyELhnOY
47Luz5d2HBWYy+WT7JcXx/NjMMypsjSiMViLyQmBclN0GEWoH75Q3JVSdxc3Q31D4sStlAUUxFL6
vWF9rLUKnHjc7+848bjz7zhxFbrQosLBFyDM/OYZSjxdECI5PAFPlhcnVsj9uHG6S8Ep3Pu0Zqb8
TC4plnmeIuLZ+kyJLxifyR5YUpi/tIMOpi8H36+H5gsaaHNW1bNxXVUb7BnKdgOAxL71gF7AUZri
p0ktq2fF81R/O4BwmFWOlSOWbuS1hnSJ6lvxAuDSePRb47vsLofQ38WNj8vPPCsPsELUE/vDFM7V
IFCHoxamn/VIeDn7L02ww5fRFHkPJWAYkn0uoPlaiLM8cekz6LrNTGP3dShDkGUiizFHTHLElQS1
ti1PamqdJ77WJaYpAh85eTuGAlthP6vWsvM+Ugf68V9NOVGPUhgiMP6tU1diRgW8df4CfP3fQxIB
4yJ3NAy0UmzknUnoSzsszVWddW95nWHAGWoVIsscyijizDgao3bhoM1OhygXk9kIQ+0km4qucao1
7CzfpuNEqZLfqK3xZBrC8kNvQ3TbhNKdaoKBl5xURdD35UcRG/UW4xa81+ZplAsPBR58z6oTV2ff
LPwl54j60PVNsL7j65LEs44miO56ZrSAOwopKW1lrl5e7hn+Yl54mvbPwFfWP/M6sGeYgZLpnkMt
NobwXBsl6Bd0Hbd6kJS3yATFEiAI8VNpkSkGKvPNUoNhhQJJe7YxQkAxAAZzB7L4fQjVfYUG4i6u
1HyrNDjnpZS7EX+0kP1SzK3JKflWuc701CEpQSCuvlkxh5Ca4v5KEC2rqShWrZG/eJOLlqLiplCS
5S325BbiMZq3FhQFz/8ayRWBC6HNr0t/V8+yq3KKbIdVka81uKMEe//9MvkOwnbPRm9g85zYf970
67VemBi7QSlfZJfLzrBWCRS2k+Yf2E0hIes9lLBqrA4IERBy/Ve/qRfVoUCi50VPwvv8LKyUleaT
EJD98/ys1EnQzP3q/D7/9OfemKwLmE1bpD3CGyyFbnYBbudzaOLq5tKC37iVzsCum3OM8dJPOThG
ake8EkBGV+OzfFFR1M2WRFqE5hDvMVC3W941QBvdCi/kFbNtVbvBytXb+UTnc1B1Q/8SaF2/roqe
arCRw+hTVGslYQeZb20ygb44qlA4vONPeR3yUrvaQ/fRTlN48hNdu+Z92J3MsHrFNkUFaOdlzrIw
42Ir53pnhHb6LYyn4DACE3xI1RAJpyyP3wi8P4rATX4PQGZ8p0x+BsDEkS/HEczLjHLjuZ5+jG29
PmmEHejs5fqzE0TlIqn7/FdW75ysSX4TtP1iI0hfJw0dBSoJ/Vk4kXbIODZvR9eqr6QQFWRDNO+x
FGRjO0SXIWwV5Ft9FTxxPyT5zshmUg1F3ksXGNNl6oqCRZc1m8ZXd6dl9SLXNdBq8wCHW/XiAg4G
/g8S5avPAaX2UPXGSnbl8zQ5N1eGjw429EH2ywtKxDXwI7W9z5V9vh4qx6yKMF9BO5FaENhiB2PQ
wYrCF5w/vvv4Pv0MleRoEbe/+9mUrf1QyU6OPqhnLEMQwdGDnmJMtrYLrfhZc7BaNKMvSDLoYP70
6Kp7xTJB0e8ZcEz9DLoGivWHFHLuoKY/+GOpgXnmQFJM7nj+V59fmtWSkrS5lp25D8VxCrRjHQ/j
XmujN+AX8aOBP8ujvLOEFzz43WuJrP0jIvXxo7xTwsrDJK64TMh2/TAmfVvg9BIsXEigTe1kv1O/
eC1Cr3p1sYmrsIKl0BAHV98rkl2c5tMpbgN8Ojzfcg4pqHbZ11nDhDMHOnSIsu6FGKyLgpc14QCF
BGghu68ueedhLUkSM3uQLXDd6k6PB7RlyNhugO/qKK6J9MEyYw+kVthVVDkhw8pOZzKROsVzbFqn
ps0Gp5rdSbftfGXpSvcvo9JeWMna07DZVMscCUUFOA2yDdFTqfvGOY+LV9snIYoK0aeNpd8i9gf9
MfP94KyqkP6tNlY+SQpQ6raidz1Ns61eJ8Wui5By6vzkZGiWR1Vrqje1qRhiESbB0nT7CrKjSB6z
SMMlzTfjV5H/H8LOa0lOZWu3T0QE3tyW923V3dINIbMW3psEnv4fJNoq7Y4d59wQpMFUVRZkzvmZ
1DiyWM0e9LHqrnmO2lPTojCZ99hFJFaFZtG8JzdeCybZVvkPfGqQRcXp7C0L9XgtO+PPiytgENq7
9M8JWAw22xxOytLl01mqyvU3lY/trZn8U4BGu+KbqF3bvs5H2FbuT8XO7L2sc6JBv9oFKbGVmeHW
kVVfgmjOMjPngnKH4jw04nhV7ENoU/HKK7V1Egbuv3qcnsmIOT+1qX9XnVD5pvMIXMUI2H6IaabD
GyTNmLyeTQNVoCqzm5fOcKcNVmDNU9za43Zk/frQG5O261PHuHpwg/bCiLCyjsLs6KIgCDFkwkus
C5JjCc3oWATeykkRzvLmjdz7VAwaFLVknZsp6VpEjrabit581YNjGbrDF7kxzlobtcu+nzzW+M2+
yoYaQOaIkvrVcVApiyvVKT/SEA2kPh783VB1wKlbH7sqPH7xgku8M47oY0MqQySXct6ohmvAeSt/
yhJm5BhIKAG4BYvDDphBYNbspspZtxNCUF5hEjsatK0l8O2sPcQXeMR2R3STRx2RVUxfLQfu7YQq
kMMa6l1k4Tf0NNFYzDam3ib/tpr5L3Cb4Q3p3n+z1BHHKfxC3Hi83Cdlco4mp+uyjg6pFXjnBjGI
Aja0ba+aukGpKxDml3x656UYvyMyrN+yCHpmJMrkvWMxDalC65jW0UocEVthB1Un2YplHQsGzB6u
sjXGHo6Z6vjqoqLw7A3qWethaGVQjOv2g7AUA8lU3pedtv1waqJYeHVXW8+qpuEpj4E2ZaN/dCQ+
e8Fhm6LChWmGrUvodoDWPaEEL96YgeXvQZdbJ3SFQNbrSH6lRtw86qBlNkB4bFRZeJbZuRv+KLFX
CQrW4qsx3xs6cUgWz+qBWB0r0xjxZUCX+M6quTBXoVrYybW19D0A0OZJZVK+FpNu7b0IZQ3i1axx
Y8zINcWzMHWe6Sj3smxOQn/Yl2D7SDdPxjNR2R77Qs3dIp7jbDs8j5CZGUZ0awYSn3Mr8uD2o57E
IHoc9SXpnqe0iY6WH3ZnDJaiY2Ob7ec9494qoq0RiepEALrfeSaU8R5jvrWd9MVH5nbfHT3V/xFD
tgrGlkVdZNrHsjJsqD3aj07TU/eYUd4ErPsuIrJXSu8HXy3hKAeLV9pWFjtR/VuJunokmtk+oTv3
Iasd4bnbhlniYQh19zK1JBWbKuuYBqkECLXCe+inyXuQe4PavzWEhE+yqgkK6+yK7IS/nnPVq0GB
IheaW1k0FMO5avNG7gV1iGuWMm6TReP8fxHGZJ2V58pRdZKD5JVJItmnvrJY8ejaZubycxrBj5qI
wuNvblGAESxzu4V5RFuFuiYB75ZUXqMbXywDPIuGIPNZRhruxcnv81ejeW3tFrMgks88FsPU3ZNc
esCuqt8pTMftE8txtqA5WiS20gSpBDEdWqhre5jb4mXQWgAouD/9gje6D0ez/9rAWNoAYZmwq3a7
azWlz5hcJKvS1ZVvvp6dnJDRjnDUdLSFDK2lwXeT3zHKO/UDXIe/96De7zU9rr9htyOPs8u22+VO
rx56xW7foyEjJMdxaoz9m143WMU7EREpIyGbxXWQbwk2ZEyqy0iu4RnA0S/N+Cfq3QAqO3gNN/O0
NQun/s21+dsD5YPt5UB9CCat2FajRbxhLhYhUXdHU9OTLE5I5uNhK7KrLDr29FAwqyZDRrw55zm+
Ucgw7IrOdE5NUmLopDsJdc2ADk+9GxRiJ6pe/KqVEIWaP13LEek22XXEjuebxmMbtUHwYm39axD1
HI4EPW0lOCoIG1s8489e02BYI+tka8+k5b3weNsP857sF5S+/uSp7RF+Pph+Lx/2FkJW7zpSmasW
GaiHvlGTN7v8x9DxB1reIqF/dSP0haQ5ig3F/lJE2cfdZgW3SYAV2vC7R4kCyaXm/7sYrcjW+/H1
f1r7FI1gEkDd/tMolyM/0vPgMpofsnD/Q9huPq0cHCd292wZr6iASVLY7oNU/cECCAzjWnerQzpm
yQVlsuQyyXee3JWbxMIOe7SHbhtU0HuXyIKqVn/HD2QkQc97Z5+WxXfSjH19LjB5/nJeqD216LxD
miaHvwijvGTREWoAqCAw3q2CNBk/iJnH21wIAk5ZXJ6tLrd3flz2Z6NOVWCWSLiU4NCokLX71tOq
p9xqwDzFRk1o7YnURX4rlWjn+SY/RVhtG0iluDdZKFb0Oipb6EL7oFk0GN6+KXZx0rq8dHplFCs3
14kda2UJ/1DwVEeEgGkNqsAoDkM1VEGkrH1TvUUJ0V68UvuXIoWuU1uGx8T1P8lV3TPHfdZVJZRw
K3JWbsLLrEyr9pBKskxnfoNSM96gGsQONBJ/Zour6tdqzk1i6I4ke5CexjkKl+aGuDZjFRwHNXgS
f6rujbIO6/rgqKrRk+wvG/NE0zdTCEaiKhAHB7Cya2UWbagHdYfpYb4J0Ls/aGShVoXfKFe5aepU
Pza1ic/wf6rkXpvg65aakXJFXvRExr5CtJCqnmBVWaXVI3omxKF7/RJ3uv/kRpHypAdo0RdmHa4b
q/KfZIPSD/3GdXjZy2LUDHgDVu65SKNXmevVA9M5xKSxFy5LpCLFNsIWWY+WKFajMMZbiHTqbdSi
8ea0/FTpYOnMNmlIwUuh7GuOa2F03t5U0m8IZT9Hg6iu8v9olkl2rKrR4/dH1HL9p1XtIXD0A7He
Zos3cwmBgARCSdAdW5sq3bUGwfCVrGwG7z3l92dCQe5DDhEUdo3nAuuSgBEhhwVW49pa94f4kJJd
eanGPr/oqfozJ9BYtgeLyMd72/j9qR7Q1JBsWch749aoLW0vixhTtKtqyFoA5G77miP4n4EdtoBj
wB0mM+4NFvPHCZGjk4xjVVMwHsFYJYifYAkyAwXcxDJfCMEWK1Rjy3PqutUFAvU/WmqXexeTgk0R
zc6YbpA8kGbkSUUpZOrwWuakyovOvikNJduLR94JaryXPWp7sk9qiJm5EecvnRsmt5JF9YvTXHCd
wG9BnfJ/FYWQi+mp2SskAT/Cq12EKAwv6SFvuoJHjZ9l5gjIn7LtoXduk4FwAv9KAnlu9OwKEySC
jZsawPtu0zGD2ReisV67qsn3QxXzU8cWRg+dsE5EUmeFFIrChgLet/Ba574oRjevZrqOGlJiyKAS
k50/ESS2mKSQppzlJ2rVOeHZ8wKTrd3s7R5H4xu4v7ghdW+QeMvFI3odxqOY4XuoCKzHzO5OxLDB
cgVlug69qD/pM5zq3tr500Hr0swHJ/06oT8uA4tKSLZvVY9Rd53r5K/3v+pkQ2bW2YqQmjjXSP2g
uDrBXS+U1tl1fvXRlwaLD1Lu2bY21OQiN6gjsGiRu5rjY+3RhBsg8zno24+sdoMd5ir2nn/n+FEV
3dVvCvSK0aeR6D+wfV9HN47Pi0A3i5CvISbqO2x9mpWWh2R4W1aYAWRa2FAXsOPRRxq4w5ZEp3pO
plTcyH5jo2EnhNzSGEiGXpFeVG3tSYLN8iA8+EywEAcGOOhjDyhJwcnk1dfWjZqVLFpd0R8UvbY3
xswNBoHLr+0b/YF1anDOfcvdKLEJ3xu+AnwDzXGzkwQ2ZvDvx1wbF2AjgvBoFUIvXqCPKMuHl7Y0
3hI7BuQ9Vv2PaRL8PIrqVds211hPAlypLvoqDLNXMJP6uUeo88V0GmB8vT47FgFaT7EwgMjovIYu
sLCobcKHciLIrs0xaYWXyKY0hH8yM0dF0ALnyynVzpLFoBezUj+rmFNhaxEpaO0MMXEiuT81jG5w
u006jGscIvwdgo8sOu7lSgRQ5vT0tSLFDXBm/GGms0V1J8aXkNfnLus1/JGKvDgzXWK6hYaaZa8M
L/QRvi+1XW20+auFO8IpM8j7iiok54eT9LPiJCsviEOEodVDpQTOObSdfpfA2H2Owgh7ttAyvpcd
K7F5dcrU9eD72bCtsyLfDXP6Nw9G0D6qvzxn1SzTD12LWKR87JLknJ680FoPvDD8ov+Bk2a3MWOj
v4SIwWH1bgcEb2lANw7hrTB+7/ym3Id92h/6cgi+wPF6ycA568DjLyMOoU9J1jOvHrpVTfrySZ2r
8tAm9uO3K2RkJ9Pifhp/2ZS67oNeIUoaY9wr62tZNW/MLHPWYTaro83Uh2je3JkP97qptjECtFH1
kYnlon2sPRztl9RzbDoGOj7zxJ+H4jvsMiiYMzorjxUcjgZjI6FbjqKbT90cNmKOjtzBaLNaqPhz
glePj42mA9wtQ2Ckbgu9I68CXnFAPOVGojtDLyv3tjL9yjWC+PBLoufKqI11oxMdk9BZK8x/FyXU
U7YqrkDxSoTZoa30HIz5nG8MkkDfYTD/MObONTZ0v2CBLt5yDxXN0uuLdU6e5aYINNjdOVN33xON
so4y9z91iW791Hvm2ghGiu8IBTjo4gsSmmPZrkdPz/YLlsRD/gDLBp6E4PjtE7nIZgeEPou+majZ
L+slJ4i9TYNUv3V1MpNk2xREp6QG8SXqs0yASnaJ3FvSo7avXgtcBEl6X8CcHZB6OpM81f9xSusy
DG391dBYSsStC95+YH6XpsCQkOV7xdnM3tdDNxw6JBNerCDFjp6AzI8hqVz7NJnjg5F7Z9HFwULN
kwCpxIK63DrYL6R2K2Xwwi1vv+YsNyC8/C3GpP8qMTP6lVWOzTmxBXYEbjil4CWZ/ZPFV3aTjui+
XffaVWDVvg2Dyn5r8/qbk2AcvjyU9KrzLi0iXbs8zMqdPlt3hBpAPYTgxdmci7YbnWBiDc8KMmiF
NYXn1kUX1Wlz/VQbcX9xalFCFi/UZ8chOe0XYfJtwLEbk1qClY3OWmQmHOUY5li1Nl7ECOqHGfjv
Yj03otAQbUC3NptOpvHMDjUExYIUXqpfh7k0EKFnyoQJUIRd/aha37RCTGjSt+OhEkP4DthjN9Zp
/n2aKb+mW9XneppcBEPKb7I+bLA2w7xvvHXVwJAsHHslGyLeeUzBTlPVlr9aM0PHQcdiOd4kOSub
lepa+6kxol+B1n43+EW+5kEOtqrp0y8g8ErgrUP11CtDvIsRZbw6KWBQUlHOiaTi0LsPXYocuhl1
ztfOB0wEFCO8RK6nvloBigFzfea13lbNEu0gizvhQlxTh1g/JI7qbnH6PeLwYT6ZoGc2o1l1hzbT
Z1D1f4pNFEMh+1Mcvbo9kKcHdD6D+nlOoLLwWOmzyEIuPHvTF46JoNnMo2ORDnJhTQi+PEzp+OHo
YOUzzW63C/QzQpQpCZSF4hUELE8qSaMIE1w4AHjniPlPw6YNU57FrWp8GydhoM4YRBfgj8Sdydut
3CKsP+Re7ne/92DH1h8QWsRK7slWJ4kjwAerMla9W5t6xVvefvPnFHfcZfqFHIRN6CQKb4JMF1YU
dvNlmGp0x4DeDYNiXEGJz76HFBPbxWQrH6ABztC7JoKCGyCXeJKtejA+q1XsPMpzYAi6HFR4jkMM
ocq2YnQA/8wv28wtC6RwW/NiV777ymzxoMAG/OriG7Y3U/d32ti3h6M+TP2r4VvRVR4u08nJfHjm
+GLjWMAkJcdO0vBwHjIOWmOjdjX/BVRdYPPWBJpxCAayLAUQLkZg4mw+t0iGXtQJ3C01bMbiTAG2
lQYzRcDAYtytebKV4NBWPF7wukt5gMdpespj13obQy24ksPrVqPbWW/4JtkHYG79RhZT3MO2wrbb
fcTU+KF1uqeUDO1eT6ENkbpHP+dz2eeRtrSzDC/xah8GsqJoaAjTYrGRCe0ZiIL63M6A8HLC8nku
WXXSAo3CdkUW5SbNBvTfhgCPmBT1D6e3ViPSj+9DGAc7Idp2H+pTcgKdGa8nLLN3nqJVW8lDbD2h
3WCOLYNUvgbHSfnih8w95Sg2LZ4eDYtC7kj1ztUIe6DLNHIGcf3228EN5+MsGOwnOYXxFN0Fi+to
K1Im8TobFMRRMLJbXsVGhMUmr37EH2OsUkrQvisySKjhznLv9jx0eEVX1zJKOtbvoPYQoPwaT762
1cvEOchuer3Sw8I+hrnpreXHIJu9SngUPMl7bkvFBH7mxTzfsgctFuNB7cvxjC4HY1zufi6zinrT
cNawzMzftVVnOxuR+OYJuPHZHDvz1qAAmZqDdVzo/Tn+o2uY66T9peCWHk4k4S2XXFZi3myf1R+z
52kdiCrmz1QxPnvA38uZzT/NYsqsrTmE5gpyXHOWG2QG2mVPFrXWac7TvLkXVWjn57Fce9h/Xdpd
pIf9RZn3ZYXcs9I8g9erhePSggBXtYrmV4FsDlqb5r928bx67b0MlpzZjIBpei85y00YxrAj5G4g
svScoO21tNzreGiSICi8H7LKUjtEq+cFMLS0B1EM3oOHr8YD8qPj3oCpwneBZuIWIytIiaEf7Znn
no24bM9QBZqzrijNsvepTjaoc6vlFdvMJX8LSTN4Gu0fnd4bD7IgN8kcSUZ4CqW5KHxaqlSzw3JO
RW91rGPWCrkLKDtFlOB+mFarfD+Zy5Isrepdb0/MIdwxCvfCtd7HJvZwXEujq5bxWxqlOTUbuduJ
/KiarXWUpaGrmRkXarcl90LMBaOmKdHFuXMNq0ML1UUHgWDWZnZD2DhY3u4kWkhubKZdZeUQ7+XR
fsJQD8fK1jdXLA2tR66tnuLScbZtlmWbGKeHTRPwIBuyNDlC2A/sjylpWHQWfRbcrDnoRXQgv2HY
2+5Z6pLgnYuYuOY3wE6KuqpaW93HgYOfzp/esk8191FtQues/rHA1LZk4BAyduObaw5k8P/syTqe
hpshi8juzfV9jCjrRm/DXwbuQAfi/KgnGs74jMRSsx1QUauqanpRYn98cRTgYrE7lsAtKU5+XB11
FQkeWbS9YXwx0MLLSTU9yaO02Z+mrJV8L3t4UBYvYal/lY3ZWJkXVA0P0WzW6OTt741eJ87pXmcn
/O+qhLkKlCoIAzN1wMs99RIM3ksQW8o+d8bq5EftWdFn5VU/Otl40P3SQuNn3HkKJvWKs3OrRDl2
dpQ/xiN/xw7q5k8+qeypjk20RhDGfkyE0kPO8oO9i8GEU4xvXeKdajFgVUDmDXBoMty0zlSYRuvD
ussJsoH/TjcOWkiYfa6ky9h907do/li9Tpps5txqnh8canjnkDqRUSkV8NiSOKhmMWqRNq/DLdOu
LTkf7dUP4vqY5m2zhl5EZsFOiSVl7hfZmCID/tr1S89gbofH8DCilI3dgbeTIFaj7LJbwMp1aLv8
zbSKdKUL0fwyY6KvlslYD4mcKaXWfZ9KjzmH15ovYZ59M22vO7UZquurjFjdTfHjY506zknUtQqg
hCQHkU802UcXvmXkZE85FNTnQXH5nvOq3OhV7T/LjadFOxtxwQdZqtQG6aiqVteyKI9qrPCCnkB5
S+dzpKCjDqljh/OKF7FE2CfbxA2PveZZF9PwxKM+b+yKt7mPn8A2nkbxKBu8ruvPqWkuJVnfu8Xw
yC08MP0zznFG2KpxMJAdhYKWxLxB1RXht3kzJJO/CUwmvbIhTAKPcP3cpzdaZDy8KTyCEnwrCiv+
8BtSqiVoiQevj6uDAB56tGwX5lxFyrerAtApI7c/B5plZLnI0/4K+HeOQ99rp95yjnXnHRUGCswE
R2elphd4oHf2AF4uUAqe8V54aCDt9Fk7fWnioHwpOuCxc8nuav8F4feVbMuiWH3tnItsUj0wCiQv
kSKavshNDp/es9OlMCVPQVKlKyJ0+a4LE+OEJAsIhKIje+rGj7g/NCd+NwRh6kmoa7mbTkV5bATx
redZFGRwNYF6eIZ034y/HMcXPTbaQxljt5sLPx5XQglPIq/ZZJpAYyBKb4rhFgCPkdnfgnyuTyki
9CsvGp9NPCR2fmU1j40XXaO2LL7gsQ4523Qjpvlu/iUYsRuK+kzs+kSnVfOifWRGyTaYO+dpdip6
j/Sj/lyUzAeAy7oziJVMaFoVD0quKQ81RNEHtayUWZkg25B9rbbjXFzqCgIdnvPTDT66YWherZgg
CG49w8qpFBImNiQ50rWeWhAIcvT+3A5Jj1ycjW6TXC60juJu61mXQJIEJWcQFU0UiHtTgSNTW3CQ
ZtkBKTZwVxWQe5YVX6AE9/Ct6RExU9w4Jv6ljPyj7Tjmsw2Y+llv/GMwlf274vTKKQA/sZbFzEYu
0s5afy+LDQY2TI2N6SaLjK7pyc0B42Om1ICShcMZqNm/foRUYeqq9VXEKQLKXWlsRkeAUxr3iCA6
/1R6RfJ/LMs3jBftTefZ4lbC3D6yMup3gJOe0jjMtkv4HuGJRzFheCETPEqEOr7HxPAoQ/nwXPFz
6/lTuZ5yC0mYiS9mH8Nm08KfoWPFK+lOOTi2t/YNAbq4i+IvUZIcpfulm8LzQHGqOcgiqpIFDJiv
mZb7h1ID94+wXHT1Op7tZAAuKiyU1xR/iIvbwxjCakH5moZRDIZjnB41xIUeQh9+r9KjqmsKvGLC
oMwRQ+2d5yqLXo1ZVXcsM3tjAlQ8Rb5q3nIn+2Vx47OY3LhfJskucakjkvlPk9AiNDf/NEvmxNQ0
KhGeEsUgZoUPAWJ728jrgXvP5IM7OvbecK+TXWTDYKm/j5ACGkVf6GAH0WYT+YQwZ+e/szZvT6rl
+qCOkKicwCBt0OnKTrI1D8kl94n9YnomvIQ6/5DVtat7ewHQYiuLCmvvVZmL4NqPnnsbsHdtLab9
/El/VdwHPmyT8ozqMqIdUaMebOTwniML00z5DoUUyJTNwVVORwg0DMbwQfiKe2oCDPT8bmjeiu4W
pf1DrUIuKrLwCyJd4VsM7oW0qhGcRuY4j7FvQK2ae0T2N2eIih9EPVAzIM3GtH4ipJBU+dYYwuir
0ySERnmLQwMELNeI/KUVETznCGq1MxQFD0YCUbILmqAHRQR7T1Ni4Gq+izS0pj3gJ1EfzRrVZMCi
05NFBmYthNB+4J+6diMFlro+fu8ao37rWruBQCSYv/SQAsoY6ShzNPzXDIvLlT/3RQw9UzrM4aqq
efJHn0wNTlInwldzMqj5IrXcGtthkqBBYBmGPLm58GDXbkewHzAEVG6D5WQnsOBQrVAgGO3m+SpH
GYhAohU/yw3s+VDD2UMWAoUMgxv1v2wAj0v753MUP1j+oUQ0A3bCINQuiVaBHM+wHy+RVZTJQjfO
01VR452MwLT2Zre3hS9qj//4cnVgWWjW4CSCAvSsRxIVqLTqFhwByURRciVeihlz0VXLOyr+FwEv
d5GFgnC9Sx2ymbLzXLIQT97FiGCfdNZDkBdssumZFzvmwVXU6stYpvG6EoZ4blVMQfA+Gc7khaML
YFFUOT3XfK68ovd3yY8Uh5db1g7+Te65zte6Dezrp+qWn2qVl2W3QyRRW09THe41tyPHFidO9goi
wwG8SZrVFTCOyhCleUuzX702bZCmUnbygWl4yC3V7Wjiz5cnD/qk/DAtv1xpGlJlnpIUtx7K5g0H
FoGz0ONY2xghV5WGGzQvBngWNQ4tRlGtu7nZI7PxGKmldvLt/JssyU0ICmWva/UmbIjE3jdOHx1j
MEDHe5XcGz3rdzesIseWy1BWgp8joZtz0ppULQ2y9+8KvQMe1P1aSvcTktks9J2JV/vRyv4fV1qO
kJdDo4yES+e9388i7wDRBss9tqGLg3inM5Oab6uI4gq76vmDJfmI+gLGvt0mMsAB3w+Xe7HtI454
/2zgh3BFzrCexzDJcdEN/K8vR5svUc8X++sjmbIn6433PmAarncO/EJ59tHOfn9n9yvEdXrUAhJl
je7/zNSivqa6X/21kXX+YGS7ymsFuOT/tN47Z6ZaXVnX+JcIU+j/PsenYhED8Q0KVKA+NcjzyroW
AuoOEbi/rxX/uarsB3jXu+AJh9Yh0kP3Q+839+k6pYYeidOEMYmvOAKGzYaVcFGs/MEOl7IFAHbd
wlFc3/tUovndW9bJzp/qZMOnuv/Vb7nc/dTyckVZ/n25T+eqipI7lOe+3+anS306pPSmL47mG+eu
rLGpHX6K1Cpec7MpXgcz+aalorgGdVC8mgoSD4ofBnvZmDggKju/nvO89IXpXD9FeLsqjRa268ZO
n+KENaBsLDDh2tj94C6HIn3lHSY8mNaytc8dBbvS4ShL8vLA5k5OETkPy+HRDFqNERWUjXGLcHvs
WeSr5isrRajdsKd/lCV5qx1q0Kpd5k+yP8F3EIBD6ywXcBot2rPU1jeyNSqH5goM6as8XG4mFgoJ
UgvPS5VG+sxMB+8k+7cd8mt4aYGXnq9egkS4eAqefiLvonZNXh6y1fL92ToyNm3YR0xX6Zqx8tw2
3UCoZC6OZReeYZP1yxeo5Yb9PEQ/fbdujnpstshpWPnRjpoJFNjYviBmhsmNroy/ygBSMazf72pW
OmvTHqKHGM2Dky8QfksTVXwB/fa9Aqv5yxvTIxGP+quAkbpxk6qeETQs5zoe0VHq6u8FZvFW1E+/
0NV5NgMlfG+Qit1qpWKAKq7tqz4Z3SZt9eAbpPC97Kr15j/MV7xXU8e+F+B/fipHf3xQrFhlXTZ0
P4wJDZj5rC4pJ5Y3sfOsCubc2LE4B1LtiKbahbda7hHBj5nMlLaz4LXQ3cfeDIujw5ueVUx+idAa
xUIy8A5ZCXXTBeUM1qsf9xWsVoBGfJLM5k3XjopK9LX13nBZqVciM8R3Ne0eO2sY/jWRtwgRbEXw
NWGxE0/Nv2oQPQkjbb6HkDpXYVtab5rTwi9zLPXZRfhw2/eTd8tr5CSQR9HOno3dlkZU+BBOQX1V
Uq/dBW7pPE4RVsZxpFqvbUt0C/x0is3n+CPzHeWnP5r7xJzIHeVrlYQ9sWYLaS9VtX+GffOzh2/2
1QyR/4grskDTgJK36CzjEaWSfle2iBkQKEcEJzi5OmOSX/VR6i0XyHrvauLTQPRQb2ZFcwRWnbzq
Gk72Xoh+ndRfjkjXbSISgqdojLMPqz8sos7w3GFYFfrGgv/yFcFxfjCXIJ3rJX9dpO+hbJZ/LtJ6
7l8XEaYPRmk+XF4knArvhNpY9sHsUl4E8R53uYi8FTfBG15epIQifv8k1fxJ7heZP0lbIGKr14V7
RYIOOTWpTz1/EnkRfBPvFxHzJ9FBTmxkr/D/+0nkveg8DuRFWOG51/snSeaLKOPnTyIv4oTT74vc
P4n8TcDrP8rvwXVEvMJwxDyWdpU/5PMm60QCCYT8tItN0oPqxGiYVagTHwHkvHuic82V7DjGkLOq
ytjKfvcTyKKV7ITZ6zfZs4DDAg5jAG4tuuHsyHPIbq2p/5MwEA9/9Wssi0xNF/S7vzr2KhArIIsD
DwXuajmjiYjOLtAHjBHmSrmR9+Gzdj+UORYsc/1yz6UbjGd9NMCA/VffIbf1G0npe7UJFWs5WUae
V/e77iIbl69iyLT3vNRmLBnnufdliYjxD1q1e3kLy70XMYFsNXaj7b2jPA4nK4d1x9CtPzWo/M0P
BRHV1aeGPvE0yH3e7VN9h1TwlZj18nP9daO1zTJ9KturrLvfbWSYj3bSYecxf4DlQ3mthYRzbwE4
/fPtyOvwKDRWtjhiVaEfImTpt9M0xR/ChePiGK520ebiTCOIP0bT0i9W3CIGM1dCVk+2g+VocLgo
RmNPhKEpn42C2IQatc+4biQfWZdlB7dpxHJiXuo4xJZtdQ0CTCe5sjy4VjCyAsmSruVBk2Obm4Jp
39I6Gs6pdNXoRTUK+xEUwvtyA4Wtw3LIveXUkKs7yLOWAm/crN+0MVrukyP7c2WZODLONxQ0c6SD
J9pRfihzdPfY1rgvk6FEj0LPQUTxaTwiinsYcdVOfgGpy6zPB8Z3U5Jo+MJjnLUI3XzXcE+9W+Fr
Mxd1Ut2b1C9xQZyLiB5tPYDmPEW9Gkd4LJNkfZ101s7xRnMni5UPkmSIi/pBzYT+2hUVASHutLHj
6sQzP8IfgbMp4GrRXFRh9c1F1+jXyEMJ7H8j/YZECYvpud7UOwC0TpTjQ8+PNgz9jwqGxaMdYTAf
wLCVvbS0MjFcR21M9vKCvodUL7qzbE3Ratb7muWz3wY39FhI38ofc0D/gr+AvpzE1wq0aHLrsfab
GI0y8ySPntIqP4oGdV9Z9PwiW1skAi7yUnymADmZ9yTU6ivCMNpy26j1i61bGOigzretdtpzZgbD
k1/1FQbGFZiQ+cPNwzRWiR3K7+A+TGUrBDUz+mi72FiGqTyTploA/fHwQMyZLxVBr5tuGX8NU9mL
9v89TGMN+7GpOMqDzQZZMjlM5fVG9COA25YZhvfcHCoTJ8E0cRmmyhS+Lz/jn2Eqr5TDgFo1acow
xWT9fw1T2a1wPH6bCC/35YMzTJ3McF5QBooeO4apvGQUk6Oxgq5aRtJ9mBLRWIbp8unmYdrOw1Te
0X2Yytau67beUGmvcTAhrfFnmI5IIzG1ZJjKbpNNSHGah2lrusswlbdmdE11UkUXIV45j8s2stYG
8t4n2ZojA/JpmMqzyWFaW062l7f038MUOtwyejXPNo+ohrXLUAIJ3q+NP8M0SRNyJH71piTm72Eq
r1naOCXdh+lQzZJJDFPMmGNU64yTvOR9mMobilKyBRbm6BfZ+l/D1NBrmHPzuDR63F57vU+Xh15f
T89ce3iyYmcZprJXmDn6oXLB8sv7QUPk99NUFndymA51idpq64f7psyDl9Gvxy2JW/yIgF0/y01R
7BOYHEvBIjizi3wfeNjcX3aIjHw1uHb9JMpeefZjTEJxicK/5c8pJhNdJvxkkP/gINOLin0N/+av
HrXIIS1Y3YM8iLcNz8PRm9b/R9p1LbmtA9kvQhVzeFXOM54Zj339wnJkBHP++j1ozAiy7Ft7t/aF
BTQajSYESSTQfQ5VqRfr02ODiMwLifAMNSASKAZL93UULEpsq3D9TPpj2nGAcyJ8h9ySarn9MbNK
50S1AekQ+5n104Kq1Cutu299HIVSgyNi52BoSLxTo4DZBmeomsGP1GHWh/YIZKTwRmUA7yi+XHN3
oG5lneSnah6+qGGw+4kn76I19+Qcw3bredSSFzWM1zoMJ6lNuKdhhtJG2FQzybsnNddM66VuVfWO
quD7si+V7+/VKAjaBFzf1BvI+cWn6RnIygWU4YYskmiKTUTJllHy9vGXrvZoZ9pSTZmbZvMKmMjD
hjoUaaJ9SIJvahCEasVr/NgFcskEoJp/agHBKz5pMqPWlFvb2wGnGDu3B79wj/TQJ7r4VhquqqQJ
NhwMwlKGeAkceUc6gsihhixK6/Afek25gKer9Qcy1HRgw/1br0aMpca/jvXvvaYuRARAdt+LibHI
0N1YZMnRgc/0H3t1lo0Nz8SPd62pOY8Am6pPZeydjCAuGV4JkbLYzHxZejU+ZaqJSwe2gAVIYcAk
JaotQrIfW3cI15bueCslw+FesU9bBNmRddKb/Tl8cF1QWF7NUQlw3We8rSMru7MxNI/HYsnE7qM0
J7yry0bbYOlMS5LRxUSW2NF24ieNPKYhcvZiBKb5QBXSmiMtXADJyNkrGTbeR+SwI2CgEZ6Qnl2z
cadHxbAgPfI6RgjEpUDgt+pKHfQQQbcAkznLuerHzMdBFZhIyRIpO84Ub+YhZ9JhkplWZB1Mvfl8
M8X2LgV2ziMNJ/11YvCom+NB2hI3z0CYteoCPIMoWWHV3lbvBkdOJjV4kcnPyEXZSTXx0Uh5567t
svLO6jaiVp8WLWBGdmoGfOxhrpFr1gJf/n1Wct1ge6OZf6qRE88LHib/RBK6kHpSjM91m4AD+rou
jBp55b2FA1AlswxQOGYDnniVM00XNqfON0561c6rfuRs5TfRN4S1NvspycYHuphePz7g5PowjYZ2
dMFZH68zF0+QQcQvSmPSuhTYCYDx6jkCEzXRv++K+ZjnwYHUkBOOhnIaqn0bj9/uRjB7Vm0ZIhQW
NzaFkRG8boDyNK0lNXAy37dDtsoZlsiN6XDGL2mcDNiToaGkoRybU0wf9N2N5tgNDwiedg/kpvS4
R14YXsTKs+wcczt6CIv1jSmRXHpq03ArDYt5oVIS4fx6trSP0jeSeUHBtoYWALmPZmyy+2wzaE69
pPkkHamYh9qKO7q2ogbpSzILrPex5Ju5cgY5Cmk3LRhg3LoDler1A6JSzNqPfhIlIK8Q0y+Vew+E
QG53upElJuBeQKmpuo9dVGIzGsQEwqJURai6c0DuwVuVWjpuazvBDSSNS0Ur0MDpANoH+eGQIt2H
Z2rJ2hhZJs3KWUTkIGLlY12Tn5rSzvAWvBhDr5ZTSw300fAw/ea1di3gBnBbHk+Q3Ou+ZKxkoCXG
BcnFfr5Q9dSf3lruZPz3BtLDyfF7Z6rXhRPtHWQmUN9/NaUsKz1l/t4jpaP6/c307PTfdVb463uv
lOl/NXXfRY30ty5K1gYGsP7L7Md/cVp1uzN/35nuTnn9t5udcqw3PU73/8WU0lGm/mZezoLSueun
TXG/LM15QNwuVs7f9OSdhGVdLtPR1JahXeO5YtasA5XokgfxrSxB2BHe1bsw89aq/W8dSRZYsEgl
xt2vfpOA44wsMMsKgfjxR3nokDb0Zh+QYygnTsK99Z0bZPLP3iRGHOAZW8TFVrZLi9LWbVna/WMM
MkEXmohbP297y5GKajUDcm13a/1Pr6SNu3lVVbo1NaJyQN3zEHqOidzg98kkHbxLQOghIbCdD3+O
quzc9VMjk4oaRfWg0l03klHf/+AwKQNQCjCFFjg+xLr6mzl5C8oylW6EqkWNqWRUUg139/W38ZT7
MQL0t8AZQCLib2v+/zW4XCAmco1AnuGmmyKOlqDoA3E9aFiWyCK0EP3heXtAPmOTGKCUzyVOfRap
wBTIsG3r2FoqdQ0zt6UuUrr+0E0Bp+wJXXu2AD3yu24dd/5z0wMFkmANEtgl3f/gg7CLJ+T/mw93
dsnfuAFTr17NOMsViOxiHu580JvM30/GCKgvodsJf3sBwyDm4V99KMW9/a57Z5fm9z/64Dkt3ioN
gJH97z4Antnfa1d/6d6u/t758Dfd6zyAsUF7rRiitoCjg5Ar5NFk2D8o+OAjD0Wbl72RAn+YD80j
tQRNaB59q7tQTcmr2kJufJT2ADZy6kdqAAVDusv8COHIwqjqMRrVZgI+5lnJS8NDPnKMQIM5HnoA
Xvu9d5mw46FUqBRVdoqT2zLaqoY559YBlNYfs+sw1GhEzueWzTUAeN7dL0Zeb3HiHADv9ioTDrdg
fudpj5iaq3zIDX2VmHMI8gi4Tw0xwMmRx+GuKpohGhAYPni5MwxbukR6Ve84e+QGfldektwvkg8d
iKaP8i610Z03IIxt5bQr5S7GQ6EzPiiJnwXJqk5cTXpDswykbhN79h5gzt5vhjpECOdcVK4N4MVr
AwCegl0zmHwhP1xStOvoiASS8qT00mkE4V/jedIlanhfGzQodSSxWh/KzVovb9aHktP6qMX6ULJC
rI+mA8imklEJWY9/XR/17LYr5SqtEeRlyO5K7ocgljSMAZtt9ClVcW8dIqP+SMaVnj6bnzvNqw9K
rtYHydRavq4PpXu3PqjBBDworQ/5+ZKM1kcfB2/rg2S9F7t7z7G+K29Izsvsg64l1VEtZVojAGwG
uPz1w5RjITVJrBElDsEguypCPOGTAjVc1wiJlFytESXzUhDl0Bq5U76uEyWPXPNtncivwgzMvcfx
9nsVWrV5CEJgEyD4D5isdJ1LNz4FdmslKz1BXAFyeraFN0I2+M24oWKESUxWcTf5S7MM8Rxopskp
mkYzWVFRqibAqwJjXv0wCpNyDFlU5mg0OweBxAggOCCiVM2CTJDi6Jr1uJF9THtA1FwPQAzyTSqR
/o3lAKkg68oAEjIgkHBL945Trz5wnMPUcKT4qOFuRqJpaIr+ubXbt3snF25m5mZ0vzD9ZWq6M/Jg
cZvSb7phcZekSF7IuyDbE0Kud6AtlRMjb1Ipysl1MScB8j6Qw3adg5tRySQIX0dg9VVIMFFKsjuN
BsxAez3kOuDS6LO7v4HOSdyDU4rwdfF5Up96NINDGyQA+yiQI1cF4SXu9GHVzHG4oio1MG7GGhJV
vQ6BdOZjodWJtlDNQaKFoDEYwJicIRxDtZKK17QuknyMaCNbpDG76syNDz7ChazfWJuZcarhE5md
ozDVZFGqpP6nsMHLN7VyGot8vPOblOWAvTt3+6m2b/2WLVefpQ9qEnTMjvT5xg4Vld9UvfVR+D0A
IoUaIj/P9bcphMvmOGq7WcyvdJn6IX5qvJnqm4m7unxjX/ooXEZsgHW8n7YBKM+IJvGizV9dtuyq
X9w4QEpuWZrK5ftJqOC3ZpYAZRCL48ZvBqj2VT7kb0tE3iq5nGB1kGW63Kydv7lN3sxipv/qto4k
aKDygcWHJuHGmMPwP3udaWpV48nSu+tUu5lYcr0Sq7uIQZrjxaDjrEf9EQGtD0HVNK8IkBiQSGFl
gBK1m1eQtpoHIK+ABkm05lFQ7Lw2MoEdgmqcI9fNq4cBORioplENNNgUu2tUzXDyu2yLKTvKvnaI
oN05jy5UrYD0kfpejkNWMWz5i9m58wIivOwF7JYLKRWu9WYhXUvsfjj3vZvJRnIt6N0312KwcN24
hpOibNOH5q1rgOO/dQ0BY2+u4fwEwFzCNbrpP1yLcxdQN8K10GCLvmD1K9JSd34FTIUiY9YjECCs
RwSjB8g8afyV7c/WI+joIfMA6cr8DOCTokp6EfKXwacltUhCNsqw+YpPqjmQiNSRPDiAWboAypsY
QMoCJ9yDURLRQ8IiyZhRtw8x/6WMkbgD3ENQJikAnt59dFPACQSt5wM78N1HnFHVO8QAInz56qOB
yLlLbNnAY313m0pFXj2EUwWEy6tDRR7py7BDtIySaWltAqcBmcLKSS0etHOLP9U7L7krMK08RHeI
ochVjoC4Jbe8aKtk7tQm2xawatIlasDTtH1yJn6gms+GiOEenE0C6IczyWgswC36CyDH61s1Ea0f
jxuvQwov6ZGbTYeM0hYnLUokSwYOEOKouyjPEbaHLHLmlDt105XTsTVi+ENEA79/Wm2v8SPCkF/U
PEi/wCM4Az/tgWp0AWoJyKCZE+zIS5IV1dSt0w4ITLIqPsfCYO0hTZ0vqisZB2ptXBeFXBEkKbiD
nfmh0PekSl7RIuXN9LZIpey6SLUuB+CMb+nVo5fdLGPq//sCJSfLGil1bMYCVf4Brz/cI1cJABzi
A6WLC2TaBw+wt0pEI7uz/xKBwO1Icim6rlD1YakVqmTMLG9W6M30Im1LrVA5lbOHp7bfV2jRe8Y2
nGK8Vl4/LFqh6TTdLGTyyyzHQxgPCOy43pBaoXIE0cBnDlboOAJE+XUlT0V1s0KV99y0b1ap9D41
/EUBIFi56MmtofAGPDbgaFZN0HWVyg9LeogVmnX12wqVIpBeLSotrnZqbgDlertCyR2kdvNjEHcv
ah5IrgMI4G6FNgZyzOegAmTpdSJohfaG/bZCqeG6QtXckPH3FaqmIS8BE4uIZn1PCtRQxEDixNkA
Yg3EJ+P0Q73I3Lk6uZ2+SAvd/QJ2Em/d6Vmxx3GS9qqBnwAhfN4XJO1H63JwBHs3wMj60juTvuP0
BdBnE+togB7vuau6TySfjWoSSYrJuU3s+oNj4JapwQwNoIb183SpshFoD+mMbD6Xu19G3QcxaGAn
jwG2by6cxckyFi7pwfTLbUPrQ29rSPfJAQNEHfwCwOcITHyeB+DMhh7DC6PQj8boxCYt/+j6QOlM
wIWzJnkAMipetgKMvGa7BuFE8taQ/rmYiiL+pylBJWAKpFE+99qX6IWGicfQBUwAEBE8A/ynBQCm
yK1kBnIs2ONESFSt00yRPo8BNEMzhdRd5yUeHDlTYPEDTS4yUo6IgbqfqbaNgNkrZmq0tLeZQsLG
20zhfMoC9BO4VuizSEvnbaZqnMlcAAYSL+kONUv/1bmaeTNTJBcz1YVW+2za89tMkasVT06Om7/N
VGNNgIYXH4U7WGudsfgTcKzfZopumWFFjeBDvJmp2fe1L8DIFWvEr3N3w+cu2ZldqH1G1MMC/wLT
q94gtBC5/90j/p7bR6uJrf2Yhj8H4FcCCgUXknfDfEpCPTopeYvi2nMRgkQa1JAzccg+g53GbHQf
qT3or+cotWXXbUmPLjNiwGkYNYI0/D4M8/GpLmIExK+BtIxoXKqXwnyRxMjFFs3U2RTmwS7ebcmC
Mt+/34UaliEnnu5C9ifzICHC+bZwlPrfDIHpUPIms/0FeAmAN3DVvU4WjRAApAk+vd+BHFXLfuJh
BizzJQ8fqnRklxbMcUccrgAvKg8RBCxkvuGyy2QxpDd75W2Dzh38BIK/ak0qdKEeXm+3OwTpAn9f
9A3SiZkLVxRba2tx8OaR3CO5gRfqBZvZuL0ZMwr8DAAo2KIhTXKQSlGRN8hmADAXeSUcpxKNWzb8
ydP76KD0qdFOUyBdeYa2ogYXgJ173dQ/506uPXodoGdGw+U7Fw/NSBbJw3gLysF8mYlm0gkAH3jp
dJyMah6C20OQblJJ78OvCchfD6RF+kAXatbziPQmm8ylwG06Jh67FKPeY+dD9E2q9JA5jn6SIwKZ
DY8ybhas3+qm8M/RI+BpvXtAw/EQ0A5DhahtiEkyhJNAU62M7QDMq2CBLCTMo58ECzn6HGTJA3Im
F1KbdLhl/+Jtb4JABTdDtrB1CajvoY3XBdu3LAhPaQMKd0T/gvNdXEhmIEYRKAGiXs4T4o+LMvQE
/7QGOo93pR6ZygOguPFTqgxRiSff8IrEDpOOx9/V3zTkAJbPEG7EkaF4N77ySQ5PddknR3x+wOZ2
r3SkI8oxGhBfIHed9g5gzegOGLJ0V+4I1DIA66XtoqVrA9gtsO7kILGp/ZSt7SkvTwZSCOTF/L1K
rSTzW6SUIZIH6AxX5QBY8Td9qUGOQv10d1M5sX18GzJDzCGi1cTwUkkHD+UiA/jBWjpI40gFKkpp
EqT6Br81P2WnP++FvGjbny1H3vpvN3kzopMjb9hzeLr+m9PqrtV0IDo03TLm/fOn+0rdY0BcbAUC
iodXLBYY9aMx5XtwuQNfVYjoEvgNENZKEwTRVxkATIKHwlzOyKjFU5iQx+KpscRzeooUmgfeZ9OD
YWQgJ2P+CWGgkxTFjW+ATPwCUoPx4U3MPtkR8N6QQKCdU3A3nKk0TJl27hBjiWivFO8E73KlBsx8
4zin8zIC1g8Aj35XCYYKxBJl+53kZM1Im+lNr2gKgHSO3ngzLOmQeQBjeXiFAfqI6TXbeQqDAvyo
QCPU8IXelUDBe7YKw0GCJeKGJzd/JlFQicDzmSOwQmi481wdOuABL6gqL5n3ASCgI5AY0SuNonRn
JQxOiA50sZi1GpGd/Ui1gqU52KPCAKyB6FAwB8lQ7o3BwDbmVT0Z88YTCnNSWw/Z5G5k7xExmLwp
LwhN7pfOaI/fgFeycBoDAOU6WEE4M8dnwy/qbZpn+j435/iRdCPsQyDLHCSTboYTNyv82kagSwjK
ldljywg0kCUO9xyzWhb2iH/o1irAnAjOh0UTteBepDqziu8Is7IPoeVVZzefv7nDVCwd39S/Ga2N
LKsx/wmWxHgB+HmwEYLAYQP4qPyY+bp5Nt0Q3Fxl1n5GttelRMLszyhwTsjj9j9rhi1e9N0XMGKO
yzAaxgMS6DhfJDNA8xZsDK5lE4wvCDDNx8NAGlLvtvynhAzShTqSCRfgmqvczxC/BbhMfZjaf7Te
wx/D5GeHLLHSJwv03QuD2dq3wuYf8VDov8RhXe3mbsThcFdWr8BAuJhj4X+1ky5YZpE+7RzXHj9O
YIlZFV4RyirQOAKEk7vdNjf49HEQQM+jWQWbUlS54zrr2kKaNbXW+JPbBFrG1mTKLBskAqTPli4o
54M+OcRjAy7mbnLxXN6uqDbXVv/k4dlww5u5xHJDtc86C9EsQFi3tW46pCYYhGRRQ/418MmElJU4
7ZJFg6RBY04HalIXkt00yyK1I/aPG0uPTQZYz52T787piVu8nBB12FhAkkutU906+n4Y3GHXNwD6
5wl2z6I0DT5WiKRflCmLf8QekCkKMLos2trYu35lftWG0Bb8uMFzFsbaGkdewxkwp/YejBHNjtnD
D401zoc+ydYxCGY/1r4L5hOwky7LtK7+KZB0A+DYwj83+dxibz++kFzneg3SJ+5ujdiu/rEqDTkE
c/IK5F48O2ShsbSE3J+5ufBmFl/6KPc+5MGat+Xcr4pWb85cXPII0W96Pe6jLGz4lhqww8IWLMSW
xdzVzVnKhDJobvAG1RtFgNQJE29x+N83DjwBrUJm9DtSlDpUBFLJJLb6OxDa1/xIMjkM4tRB+9gV
+oaE5In0LAC0ASJfdeTGXMdmoEA8NzE2tkCnkcguiWZouyjgz9Q3zIVj1KNPTRRHhKjNBjtRV+mH
GskYMsAzO+GfDoshXUQcLoGXC/QZMa7sLIuiudTSHKiLGtIYRJUaYi/cDbZbb4H3Hj/Nnt0egyb+
ip/A+IkuWjiEiNt0ppWS2WUgJiesABOIXtQQ4rgY4dzhI4lSLf8ErrBPeEzHHseAKCHgk+sXbC3o
F3AuacaitYJ4gTe2aOdHtX6hZippOudHIDPsg6nXjZt+DfZXl6Xl87VSdkVf6uYNB1sH5L+SkBjo
PNGmR+LKcmya+RIvE8fUjlME1i0qJWX1VvqbDNTR53Ceg+2drqqCxm2uEAIFo38zlc2ttjCAzLWS
KtfBB+EBDQkI70OEXcRtM2Y9gD/oOoRgL8tSAIzJeuAVLtBJcQq1tCq/Bpy1CV1SMKwqAs7Gp7EL
i7O6NHX1VnU0/NUyCzBR1EoNvO5xlEV1s5+1o81sAMAJmZ8mwAR9a/djBJ619lvPWwVgfMpeyibT
mxLsaTSu6Bhm3e2QpBiEbY8fdEC5jzhuXTi1mf9gbrnM0wJkRD5gdIGxGH/lAb7GdcX581wV8cYA
0MUpy5vpgH1xHetp6h+jjIUrI9TsT/XAvsxtOf7ixkraMcbhxbXt4HOScW3JedB+0AbsVwytVh37
wPKOvp9rGz64mcDFBT5aqrn/GEX+GI1te5kdN1trkc3WtRf1SD6cij1Ap+s90Efqc9VZ0QYPBeWT
bjnTErnxIbKq2A9rHKYfuYGoaSI21RAQPEyV+SN1ox9F7aaf9a4dBSZa8zQJ2/hRtDden7/Ymm4/
RkCD1Fj5SBXNC53HMBm+hzm2ZkhEl8nloFK1i3mtZK3YOk8bfwIWLnpRgz8w/6wF45pEVhI3yMbf
IVe8PM91Hx2Rim1uHHusnrV4AkKfCzR3Lf7RCQ56QKV+n/H7/1p2gKxRffqgNDe171fPZgcAOj0x
fu8zij616MPBw3m28E5zBAL5z9jTAdK9LwDX+rljo3lKNNMDoBiLP0eFna8tJOnuxiiNP9t8fnQN
3f0AjqPkqZirB+oUmUwHjQRL1lTVy44txjoHsYowiXOa0An1T+0Yp+fSC8wFia3G7NejM/Kd1JrL
Z58PTyXYJHoLL62n2Ec2euIgyqezgQzZ4Xk4y/tieMxdK9v5RnnyRaYoGIzYgXeerNkic5bkTDO8
s6GHQJ4X+cMko0uTg2TWFH89ItlYyc3Sf8jiYkQcYB2G61JkwM4iF1bWXatqloblBmvqElAKcdGD
cjnE399K2dGm2VmlflGuWF7amy4ccEoqPKULDTq6U7T3bOfbnTwxQQkLRqQ9ySduw/EBrMOXFv+t
aR2FcuyySdfekGmnuztwbfZSgcJ+fyfHy3UPwi+n31ID4mlWeivyAsQEsAbg5DwZ+rcR0j6q11oX
ufjKiXkwkr7axjEyoWS9CG08qfjWq6zOgDU/lT4SHih1m5ysQawWZY94bay3M35VD6O4UIkuQJAw
D1wExf6r7E6FqqRM3VSVZHfm/ya7U1Hm3d7fFRUQLpVN5ZnV+/p6BArSopgHA9kdrgEGTSdAapUW
bkgGGH40aBzY0zPeHEgmG5AZ8tANoIxHT9KikjOZX/zAAwSekNMFT//2atBZtPbAGipl+A4F+35I
fpIGDUwl09oAPyV5VJqIaCgWQ1LHe6WKw1ZjbfceX40AfQwWbudVx6YFmvd1UCr5rbtEEFh7Uf41
A3Af7AyRLIULwLcBKdxpCQ7Q1MBTU9r5sDamo3OaZ3Pfz1HbIoHQ3Aeu45zU+FnqdMt+yMyNtEDG
fEF3L/0xq6a9hKW3LBircW4Jz8Ipq49Sm0/4PsVNZazVfdMN0q1KH2gSMBlqTCqJGZssA1NH9x01
eHMBPj0IHehOulJrDp3ufZHj4tMBWvv4IBvp89P6Tt/J+pS4ISIM9WApjXkscY4tXuDVmBbA7gAI
1uNVMNLnV9882+kYH2UNDyX2Ma50+1i3SH7BJk26x3YywDkF2rgWImvN6lMRqYnqJKqOqKpWVbWR
C31oOPcWWtHttBoUT24B3t1wLo5V7BXHRlzsok4AIiiKU2rH5YK3/ruAVGWdinTRsRO/MWb3M9Vc
6n5vTkrJKDX5juYswCOR7uwMoU66Zj67bsletPBrbNXdq+XZ0Ycm7M5MC9pXhEKJM1YguFGjh+i3
QwEwlyW1pi7WWF46gLMHsWtYe4faLvhT6iXhAzbKNmnsZ08kGnxQ/FmpUS+VTDeCbMkbM9m1ohfp
eZq7YondPpDa6NU4EIrmF2lWWJsMA//rhlmvYhsbDJ/ywI3Xwxh+y/D0cC7tHihLAMWVF5JRFRAw
SzeKtKMS3al1lR4uQU9Wr+8aqEqGQelobpva/fqvRn4fC49pDZ7zfndHjaOcvbPnWxXO1QP/fhxA
9rPVEPJoVQoaE8Oq26WDxMFtR7wyHQMaT905fEvNqeOnIELIsm1eiJ/43y9Ahgl32Mx9UnJSM3Dw
2C4A/gEcLmd868Y9RHNXZcYA9AJT1EAqVNWoi7LjccCG432qWkdaPu88cwgXVnjQyjD/4YBMCaCR
SQL4NpB7F0hu2ONxNH8EDM0IsvPR/DrMeMJlVv4zbprvLgJFP/px5+E5CwglQfnRR5LyuS60eI3E
5fFTEUTPaWIVP9152rd67PwTF0BVrkxm4U/Xqw6DxdnGMwzj2a15syDLdXlow5FLbxJky2/SCUC8
xhQMH1oAy27aGicR4KvMsItd6w6I58CpRc10AWGOQH9MurWSIZEQGItd0G/aTAPTAmAv+JLj8WyL
8MzxAynyuR1xTMQCPChCRg0x3sexB54jIiQTZydjqD+DedUH0Ai8oUvq2vvJ5uOZOuiN2yDHq9KW
kR1+myxuvThZZzyVDRiPuGO+0CVzOoBOVOyRaiH3CryRNuxIVbyPlCuQO/hbqiJotdj6pmetNGEN
TC8pzoqjWZoL8VVH5rZ2nE1jwbFv9lwiwfGhy7JPnZaGn6wi7Q9WUs9LVpvstTHBgzZ1yBGrgMC6
8N0W0V+DVoHgQaA3W/PkgK8wCiIQIb/XpZCU5t51pJIuSm1elBtzqD9JE9RaxiaLTlSUUuoeWsCE
AKYtbGq+Y4u/c4wEKFHA49ajg5e+L0D+1B/VpQhL5Fo2CGm/yusBXIs6KK1X01WGN/7uqMfuBzCf
6Y+1neiPI/blV74NZEIbKekbcIo3OzCRW5967J7wygu/OpGXr/HumGNLqnVeavxF914LLkkX315k
wJcn27TiJ575P0ieVvhfqVs+XBgLEIEd+9pCdkiR12smbvCIvYAcDPOFoLPHCBpACJlr4N0+SJqd
75evmd4OJ66BKK2vOD6uwf7uuZHHl0XE8iX2w+tdYDMDoCnD9KgBiiAFRhLWKDZf11YzJGtft6Ht
1NoGNE31Ayn7ZpHvs3gE0TJpR9ikxIGkDuwtYQuPCDNgobwL1cDhZz5lXsVXcWwB8JlGrz91aTWA
PgVtUz4mICScwhWjsVI7AWgaL85v3YGHG5kAFJJjZWEqYGJNX/rtRbX1UGUiWhYj06XM82pt48V0
LXsAdXc1VSVYPZByuM4nbFbk2Cw5U4kLbj0tHYFd14SnOzlp9MDUXhY49XvrKvojPv9iILdp6zK3
OdAlsAckilGxmxkY6Kk4AJ5dtud1+1aiBqo6QLrRlp3QSYoOfUj9pvtNUTZdzVHV7IH93FRus7hR
lEVqn+3WmY4dXq9Ad1g1Kxr5ZnikGuL0tfkYazg0LFlQ69saGNOrwZi9pay3oWsssTUSrt0mqC5V
rFUXvS6AS9ELNrUmmquN1BzjFqhihu5s3+o1f6qALLOnjr0HaJuVbngboI81R+TyVsj01Kx6YbXY
06NNipsLErpWrGLtkmRyA0TtrJAQ1JQLu++Do+pW9mazn53I2nW21awsDeC2A3Ctea3lvwYAzxtA
r/luRhkgpJndPLfAB8LeIB+OgRHhxbZOnHUAVPOXigOnE8Dj2c8IEWqiN0/Z9zaeGvB9Wp8izfMu
XlRYJ6Z7+EvIwcviIt1nhdToZBFVZrqbhHA2jPk8tABOFx0qD6yaYEACYZ6oUjcqleboX0BVgthm
DUjH721konBwzOr2oHa/a2A42MZDo/5TmQCMRYUw6LLdFOOPDMh4v7jvP8fhiEPoGlRIWaW3j0Fd
hrtKHwEiPgfgAJ4Ax1xrTv9Rq4CLO9Sa98OPfsxaW61ni2vbvufOJmZ+jhiO1i7XNQcliIuUb1Z7
uY//8C5fly42bI2co26aufnQRWBabqxyXQDmCHQMk7eWrTh+S84+2GFkFUkN4zrrTA4dXiwMa+Lf
OWObHljVIe4ayVyDnvxk6fy9iNrwcwrsqGULVoIPQMBpNlocGae+M+MD9qG7XYNfvguoI7N1m7Xl
S5J0SBQuOvuLG8QP0mT7qvkudg+suP7AWr/4UmYIeuvm2nkGd0OzjjpeXcq2/Bla2M8MgX8fj9vO
dvS1Y+JzAFTvPIEfyffHFVDqEvA6jTjUM0GFlYmLbOFgQ4gtAzh9uqaduV3oZytwjKWZptqu5P0u
Am31q6uDaa8IXXtT2Y77D+hba7PqvwK5vMbvVl3h/1B3nys+fyyFPAG8/zIH4e0Fj3rGpbYsBNXg
YfEr/pI+NgBqf05tPNjgNaleO/NQLScDW8c4d6wPDPGcGRCjbi6jP1oXNhYdAuatYotMbZC1WG1u
XfDkfNOD9FRftwbdmG3wz03gmJuCa9oTsHVxWt9l7Ls2W+tBM4N/CpAOrrwAW4eA5erO2F7tVuNc
si8MdOA4x2ffEZaGf7IBmDLYWOvX+AET6ZBmsx2yZgJJZP2DLCKU4WTptvUpM2MLCy8pjiNCfx9i
gSGflF753XdXLRm0cBgHsO/+0DGQbsyRmz67Zj4BxY3PqxhwBM8ky70XbQKyMEmw+2Gux3DGQhf6
lo4/SSdfzkGc4kuDLrGOw6sOEHwghkXVNQCl6TYG4uCgQX1wEFOAm6EPtyRLmG49FCGOgK42mBvM
S9N1gbMubPh10VxssK8qDR6Hgk0iZ8AChd3MD+PzmFg4cIM+dWoN/Kp4CX4mY6sNj1xn4RGwxHGB
96/f6/jBCY+juFCJmgtgjuM5Twgr3eLOUjWRpRxU1tvex7bNtV+e4Hc0xe81MxJ94ZTpvItsQYrY
h/jhp7rhNd1bvQWPCqjcHLQrffBlAB5IXJSMqtQAirw3O/RWQhdlW45F/TJkRoMIFMGsad/tACkf
ABfcdU5sQLSZ0YTBa4AfMMAwT9jTElXeZMZqROjKjqqejbPDoKnaswnMo9duTjaWHddIlSzM56iL
17oQG1VtnqPew5mnsNE4tbebEQa9ogEB7pqtC38ItmQDWGEgQGq94UTVWfP3edgWTwAARxB7Yiyo
U9fk2sUq2l9m5f7CO7Z7dIoarAXd8APQQd2xbdn4lBmNAR668TzNbsmXM6A9Vvgb8daml6A+jvba
1cHTQco8wA5IHiO27n8Y+7LmSHFg619EBPvyWvu+uOx2t1+I6e5psSMWCcSv/w6Jx3h85974XhQo
lRJUuQwi8+Q5kzdY7DVw4zf2jlbW3DS+t6PsSYZas6VmQ6pUhnW6MmgtKJm8JmZXnjzDeg00lexT
xDoRvEYB7hY/4z/cbpMQ4GIowabgt1/HiFiGB2TrtsjTOQe7NBRS6wkIChGLPOe4uy/B3tFt8ZOy
n4H0aZZuC1oW6rpO56+HWGrrZnz38ICC3juqFIiwwbkodHXOTeuNegJiOxCkNRci5BHq8qHIU0Ma
/U6DVeDkUNhREDwdZyKfla4YCtJ21NWFE2DnkERr6mop0w+GazqLyTk182vg91cv08Sq9T170yOa
/eRBwnrlpZCTjWM9eSJbF9TPKnXLE5nwOhvfgIxC3aEp02Ukh2RvBBEIBD8mzIukIHJMoWgj/muB
ecL/ukhjhciBh113NPUIbPZ2md8Tqw2PXAzZvXHD7A4sFXI0sUK66cNWZyBQLG2r2pGNGuRahiV0
fZzN4FfQTAVHB+pwwlSsaRnySQBnWPnJneehfqUmzdMlSlbt82xSHetP2A9vwfRqTF40WNZ5tasN
IL2+DAyRFeHm3/HVPOCPc1nhWwsnLvl2Xh2E8qhwctT3qK+GC3d+1HoozqC4xa21BBfcpQJJ5zYM
HL6IWdM725CnUFBBDqp3nyCR4N70GBxfECrHzdoUiDTWiHMXWeY+UdOhasrVwvCWF47zJFI5bPsy
tpbQBMcMK2xutha0Zxp1wDh0yFsB+dtxdZpfa7wGoSOrD+Siq7w6mw5Eaz7O4GbYh3RGbm7Jw9Yt
92Y13iIH5nOX4zG60NMA2cWqPxXcDy7NuMGjJhu7pend0qzIDl/stmZGa4hNQflzdCNfcukNvJtY
rdjMa8xT27x/c70w2s/+NBjUAFdAwRRJy39fQ4ANztlGftSroKC9mNfkXp4t8JoY7ebVaS4AkOYm
9BN3cp5nhOOOVQAp8+8PSF1Eg4dFxkQMmrd/fQcopLn5jWSA4fZQVWRVvChjBYV7vxsMPOEND+yX
tm8cqU/N3KU5YJ/BfY5DMe7M3EA/mDbuyF4XICjppouKl863zOnVPm990IyN3UJAidLKkPnzpOF8
E0YJPFRgiAONOpn8mSnAJ2kQQCWIcHjtcyWL7NFZ5YacdOYFZ/DgvZ8g7fjnE4Bx4v0E5EwnaIpW
HJQZu9/GEzgNSKIDy/mNSuCoXRhKL08+yjY+NQFYtFedBCP4l4EvznMXiJLmaPR4+GAhMqeVrLOV
PkIDpxPRUAWBhgXEM/L1l5XBqdMAA/RxMa7I+l1cBO9XFTLApPz0aVB2fE9rO4R2ngH+QEh636mR
ehdsmsKWS+r2o5/I6nLfJiVf6EGSTH4KX+8xbsWNVoqEpbZZgUwpaxAFUZk4iADpo5ohhWBZTFzI
7rkI3/Zj1SOcwjFeQkfU2HaFcpnQef1ip9k6KyHdpCNhTyvShHlZlDhGCH3o2nR2GvAND1LkwkYW
yI2t3cD9dNvHNnvVVH3kKjZ+jv/qiJGrCpwExoCYccXWcZhYf/Xdnhx4BeVRVqTuqQqGhR054dqM
dPPFGEKIYJkBtL+d1noRqfPeJX0LJBQsUOFlgOWMzjRaJlAg6yE8TybsChGuGufThP+P+bTcvPp/
zZ0v5cu5qdswtQR9crUflJAH38vkgY76sTvbaKDh1mcXsn3xm13+aylTs06hreI9ZDRStcA2gp3L
fBsZce0cLK/IThyV4NXPtCuzq2ggc9IA2bJMorCiLgLqzR0A4fruQ3eQTNSLXAZhFa0oEVzxtRjv
X1V5McbGcsE6knQKSQJhdu1K92Ls6tNHIiE5SM/sCujWo236b7Q9INMQpt46QZZhNW0LYg8iq12q
OftpC2B2/zV/8mV57a1ju7NW0PQtN/monl5tCrAthKM0HTWm7heHKG3XVtJ3LuKHGICgyDBKG2bl
wczAlkpdGrE8vN5uPkbI5lo2vD9NBMGcfkC2E7Kc6a7Eh/tmgtbwYOZpsW4yqd4CMwMEtPpPez3a
wTr+1d8ClSXEyyJ/zW0dBQ5mXb9h+3M3BtUjL98sG4cn0cKzOQBobvWX72GvP4Ci71nUsYe6+aJB
sq0MwNfObbAvRT5kJCy2jTrHuuWAdaCONDFXWpumK2QX5ZPRQ7gAL8HGjroNq927ZW+tJAXCD0qL
zravMgniMQQUK6Hkk24Dem0iAgS+OdgE98W1gdQqTScPGTjQhTFQUDytYiFSWkhRQUAOEzo34efK
0q8gdv/Z6IDE2LyO8Vqdy+c4RoWMpuHeBjo38YxcJn9CsGIJhIN87qpgJJVK8d7paWLBs0D8dtO3
TvfzP75nvanE1L7Feeig0KbKL6VqImiQQaxeAHRyBxizAvF/lP/lxtFO2CjdCQO33mhx06+wV6/2
2WBar2Za3gIv1++hY+UPWUbg6OPW66DhaZZkvrckLwTtP0/iSXVzK2+4A/LnPNUPxZS/cCCGtlPT
P1Mq/AVHKcTOxb93tKRx6nvjPxagHs19noOX2OZOA19sRpBkW7NI5R8aTe28hM5ymSkB9BBT/W+W
ZhCrr4CP1R7IVP3qlZFeERxozxqEVG28umgrsjHZbjWv1o7US8MqvVIDwT8+lhnh5zPa5tEWABCt
hPCGoZkLqCUOUBHtgpNo0/DUuJohF6ByDE7O2NTAM691BTQc+YBJBho/daXhN4RtRw6RnWMpVLwD
CRF+ETABvmhUC8dTwI6NfTqam9mWg0DcH5z0HHUS4nqsudVFoV1QZ6A/t1GbLBsv9/dg9NafocCM
sJjWBGsaLWzf3bsDJKVoKrREgwtqVG80SCYkLSK7Tp41OS4ddN+8sIouNOSaHlRE3CLdk7uZpnKT
VDECWuNlGJoaDr6BZBaNMhQBX3mBoOd4GeQBGM4C5Mrs0US9uGg23jliVObkSvN2jT1ET5nQoqcS
/0Mpz+MrmSBjZJ6jHiBNp8crRGEM3rZ3fJRAprxIl1buQNdLN9kW6SGMd00KnC52xDQZkrnVjSH+
RAtPplR39zywqk+2CGintYV923patM+HbAHO5xKi6+OidvliAIZ/owWsQUWnXlkv1KvGy+aaMhBN
1KPVNN9miLXoXlTu3ufX1k7JFmJho7cmHajVmd2WenRleNTIneVB3gWh9Ax/G4BCVo2WyM20ACu9
12ZIHKjP4QuCRgg/4w9+kos4arubZqfqFg5Of5Ml3oOGOva3gQN57wUC1eE2dlyoU8R91Kz/ZuRP
YynDV0++vuTw7dJmjYzVM8mb57kt97ruIQ4aSuulD+V7txoBB9QNSmB5Sfx87tLcCKilfcus/zG3
REjimuHGvK7Asnzue8SWF3RYGPjHUTZrNqorYXSKMeM4NpD1RuYVgD07Ut0y5JDkXLrVIze7+mmS
9wv9dmWnUMOibtkI+1wW4Z16JPGnKfHHzuPwiICIfFjALO1oMfLIclc+XPVEC5J7aVnvC9JYWjnj
H68qF8rBi0aghmuDlz28o0g/OeDP+ILoZ5+sFdMQb0ZUffIhxxwRyKvdRXLVBR6U31FNlKxFPYrT
+UG7/bQYEME3/OrAekqLue5dcFO/zKvUTlDjJiG2k4MXas6Og8JsMfXjJsc/eNyr5XRxCGIOV6lc
YwltT3s9r0NHYe+DkCSrdZARjR+FjKnZ7lKRZCe6ajI5huWh9Ksxl7UX1Cu7DBF+Ebk8+WPDfR/S
EuPRf9n8od0FMhX72ReY0M+zaD7ZOhbwbZOIH/+rb47yzqVMtWSl4VXsHPkG3uYSvdtGem0NQBlZ
5rCIVF1uoSaCcobRSQGedY6i0Z2cKlTaaYZqj2SLpynjcAyUBHYDWFzlaTjNe1+Rl4DtJGz13h29
pwsYj1SOghAtsMLNdCo6Cy3uIkO6tT33b+p9GqXDnjc7CUT/gXrzOckZ9fjYhkMlfUknmk5MPhwv
VqeRz2qyfbqO8YO6Fh9Qp2K0yOCMXwlH4SZqAR1gfliV/nhfZ/ScTwiS2FMZmVA5/Pjc8wVz38rX
zG+gz0pLTcs2nl7h/2tHl+7x5ieTTrWti6Q7VUhOoOBLd+RJjI2MB3uLX/vzMP7dtQp5NvzoRh9y
Jx8a6hJks1uQ0G/myTQ6d8mPbC6ebDtHesdpfoUHGxTekWAcbylV2fXn6WjsonIKKTioq66/DEx3
GW/AjXEaHr3pfjNPpnuQ82+XeXRe8NNJPlahuZ9OEgLOvP5knNdpKqj6sBjDX04fqRhhU4SQVuDY
FuCv6NtD1fhmtqBDarLGRUp3bGbbJ0capv7s08UMRWefnOaZ82qZbxUrZnTDp3PREsJL9l7qqyXP
mwo6Oq1/DLpU1dPhpz7PNRTVT2M2UM0WqOH2NB6mln+kI+X1YBf+NH8espAkXCHFWC6n4ShttGg1
j+v5bwAz1AkvzPIUIO9ggO8RTMrQ+Vl0lYPW0UQPeAH4UmKv9c5ijCZP4xB2m+aQjUatcfbsR3MD
AVz8tNY079/noiluWgJoZtgFIs6sfNKNQyc1vKKMHTPl9aFo2xxh4nGsa8qnyBdypQ+igJihUQBg
jgEXip9VkSRn6iHnjdpCu9+TP5kSM9Y2kRTB+0nGhUy9VguJfAAC4ViDGoutI3wN09mdRKWHOrDx
zXycnaVNvQpU3yDs9c8V1U1yqaq0ns7etKV2bjQI9fQ9y5YagHObsCuhdPoxAQLyckySDNOZ6XMM
v/AuwKarMLQs3NvhGNocL5QmQom4WFXM6jcc8U27MPhNgAVv0xshNCxzF0I5SY9apoJ3p6Yv+GtK
HAWh89DconriUXQkcwztZARJkDqwfJ2/0hpggdc2NGr/zzV8uxD4aRT5N2kueF1Xv/xYOEsWh8MF
VP3BURVDsR6Mtv6Rpd7GqJX1q6iVANLULZ/SWgc9M7a3W1XWAEe33ZvfRfYvK+2e8qGvv2l9pG+U
KcN9AmaGu8rAD0UeQgNI0Un9N6SEdJTk9uFJVVl3hgg8bpApO4RRkC2KJuCIfxnOcy5ibdkjkzyK
mbrPoonVRsgAUOpSuM/YU4T7MnUThOtG59ZDaQjSi/0TFLdbRB9j76Q4at18BZ0KN9CudGSgBGdl
QYN0VejMz0H6wA8xsl2n2QWy2vaeVfZfYGsPUSM5LhDURold9i/HVmqP0sTwkRfui5HJ4S+/KIHN
H1R8NVkdX4TgzZIGOlDnd0C/gJ37imTTWCObovAcO2J/QcbE1awrHVU6l8syT9NNoecmFJai/GZY
XXCYXSyUSl/k+CFpKZqGOga1Yznufu/TdFOujKb0p5POk5vM/htSbtle880/ZdZrx8hpIUYj+I9Q
Mxg0Yrlx99tg7Y89MoFtRGd68UwdzebHqBbljXpuAE0OnY2Ro9HdapHxxg7T3GsVZy8tiJLWRuvH
Ww0YgZcIoOUtNMtB0TSOGk3l7CHhhuKccdTxuYdS8wjs8OOoXiFB4BYG0uYYTCy/ftbEBixRcbfE
y/5GaAbUgcaTgrbiDaUFPl5dMa8MHA91bphIg32OwrzICPonBKKjU5Rm8h6VlXWJfQ3AFEfcqama
wTjLOgRSDKZk9AqL3ji5ZXrBu4cPFq2kMyFK6T6TB60TMhew4sD8Sf5kAhMSXiv9JMOr7z8LCTB9
7D1gBCYbDcQu3n1QBOEtaBrZRNPJbRVFfFnWFs5o6FAZReUPMibKijeoCsUtf+hwZWEQb1xpF58+
gKo8sRZVBTC24B7Cqg52pm4OEAOdgK4Qm/Rqlde2tp4+Egcic1nljbGZLrYFuihG5n9psjI+9mDR
nxpZgPdkQf22+ZMZsQY2gVC5SzKBhTHcxEhuL8xRY1jqFURboNp+ssY4qkRF/KKsQn3qCq/9pzvG
YMmZRr/M1celPjlTSPb/nDs7/69z+XhV84k+nffjIiG1UG1lZrGV7SQ9aGIByhJGgDBdAfrbTg8g
txTgqb4wHMc6s3ZkaBq7viiTWxd6EpoRMep5ZRDfDGS5QTiBgVb+rqPQuVCHzHGe95ukQ1KIbPOA
6alL3lviOC8RIR21t8B4OZ1l9kUJP18kZdDv5kXqQWMnaI4cyeSEovGBVSywoylwS5n99K6X17Lf
QjgsuZVhis9QCqtdV5mHqi9gbCYbXYVf5xskedLzPL2BIDBYKAKgB8YF5gFmpG++62v7+dOHpdce
ijL7NpvIH/Etf1HZqtrSAJ0qYIZ+9lq5Io95gmnjJbYQEUpzxvNNX3qlvitWhJd5upcHYtPaCH5q
el0uW5R6ryEnrvOVzoxQLGQWIqeUmi7yo6OVV7p1mg6DMITEtgBaSK9g6z3X27AY+sMy6d/sskmQ
CA4XNEizinEqHX2xoaK82TAIWU/OgoUWgJ9Yk5yn66D+fDHUJUepR7hM6reoil/ndZKvsjZzHn4n
jRWrHXfTGb3zMJE8PBUJhwSiYz/Io8/Zxs2Zf3S5zC7uYOn6olZOdlFSHCPLqw51lGFgHFUGM3Xc
e9LfEHEHYQDNGBtyocYqOXClYVpujLQxsNQ4mRxbpcJlBATdavaeFhwq4LA8QJuXA82ZZgIxkW0z
xHanNWgSXQWt1kCbC8Uu3YNM04rjVdPRkPr9sRNqPfvP08NAACyTRZfM8tmj1+QfaI2qo7LK6OGE
lnmw8Ua7oC41Eh65OahjhLjkw7JDCTwq8KTIYgb2yo0lCqpKC2FN1LShahe0OSuQCOCWqfeomC6b
Nl7pha+vsrxHGkxA/9Yy8W5HXb/32gs1+Om0l0Jzt32YlUcaNIJMXOioBy7zVCBOQq7TwjTQtHh+
Y8f+F02n0XldKHaX69oL+6Xj+yaUO2PrYUqObVIH1sEsTvgy1Nx8gx2eDpy5w9pr1LhAM3kC6lFj
lxzdCBRwjgThWlzX7jQwTXEg/el1enGQuoYAjVFnxiZFrHqJ3AD6kFwsbn7nbQIFUNTkU+mhPvkk
ZlNtctSvLlE7yM7IS0ZnT4DuGKD21F6nnqYvyKgAhOimQ/KUPEhOgf2Gd7g3gD/NY9XX7VMDdoVL
j5pHA5GoJ2oEz8qND26H1Wz7vyZJEK/ctPKVUjBhg6AH4/hmrTEtgxisfrKl8ssVDfdSldvelO/D
QPyrYyKiRZv78hpreXd1WjzRDJOlO7JRU4+jXSu+t4Vpoi4WPbfFHZUm4PXkiL2uOCZGhmL+yDx4
foxAAjK8IAHC0dyQLQD6ei0GASWZ//CrxmmVmz2Ezs3tPJWOqhiP9LBx+XIeQMjSaKalyFjYibFP
i3aTABx2qoPC2XlBd6Fel2nuSY0NdemIbNT1B/NXHkXF9r98k6D0plkZiCdsPV2ErOdQ8EHmxokK
eU3BOk09asymLkAqARhgGxrdE9kaX3uUEfYG1AsDXIaWWdMYmWQFHd0+B2aAJqkg14FeTyJQfvcI
YXOflUc8SXGICmBAUTxrTzZqXGyH/GVbeR5oIg3s8r3EO/KxyXvXPUY5wo68qaOlyNp3mzRZg3f1
Dx9ypGEE2VW0Cgz5dwxy+A0NzGvNM2abXg1Yixxp2DP3IDt/jaJGIByEcMrUjAGZT90KRTEdHp/2
GNt1x2YeJFv9jwcNTqZ5NTqChy1bdphnfj3VP2uQ/cupGgAIVkUfSdN5Te16H7m2wDVF8pA7oQvu
5rGf0mHnZN7SMcF6Fo215NPQp8NpAs2lWZ+a2X9aahqarZ+mfjrttHaSgKHTD/CaNBY8YXuhozR0
PKTGbPiqa8v6wPg4kI8D0yENJ1qKVwo33ksHJSwG8xf/7Tcti3SfvnXN/oWWmU9CR5NL1/bZwigN
ZBir8ILby06zIMgWQGzqQiZq7JixFehR2Xq20ZEB6ZQ9Z+0jcxKIuAPOsIvHskZq5ipHC8GxpRCA
uc622S824wOYY/QblyDj6YyhBlMJ46+eCe6VAhFGP3T43ZX+lcysKdTB1lDzYITIVkILC28bIo+u
MQS2zKHz79REPY8PVqSAf/iwmUOab7qOI2JV+P4dOiH+vU3aZtk2Qm2xZ1HJEsrqL5rG/WNTZOgW
1baz63LyrXUrAFYc9V/kapVDs0sS6GNGXGDbVGXF0g9AhLeqkFE+IWab7EJmPajnmYV9ipDKzA9D
XVRLxnt9ZWhAZi7wH2ufaJw889R3NxXCuiht6Nhl+HfT2hufZxIcy37VbTnnxUIrpLHxjBdhOckC
r63NaTAiCPdCTHFVdnoIwqbSeG55CNI9G/cwlhrGs5k11rHtQzByjqOdTNL7kA+bQivZc+tvwHWA
OWm5MoUW3MmnAKL0ff1xSilFsUKdL1DJ5DuuX3Mw97QLXmWgpnfrteh8cGsgHy3PWhkbhyjsELLB
U2EB6QlI+ikfKfQU9fOLkFrPVPEpGBvmtu2x7KD8bA8tuEbS7O9Bx1arzn7bpYa8c2L7d9RsJjtZ
pCBwzKV+g+o9JNGUJX960ICnOSKR8SKxB/e5NLRm42g2OyadF10kCrgAME/Yj8zIQUSP9bOsv7W6
pr2Gnh2sEhYC4TYk5tFpUcRu5tx5gXjTT9Mdsr/dTlu5BXQ3bBHGiH/ZMr/WKHXehX0E+GVr2E/u
2BSt/cf1BAJbHRCqqB8aTgMPXqhHjdGOHKKtQsHL6AESteTegJGfZtM6EX4Pa1tDAJBs5OYl5abv
re5aZPVPq+I/7H7wbgKqCps2xzu3O3ZrXnrQdszdg9bE36lHjZfb3c0GVP/Dicx5Zj3itKqPnybX
vkBVReRuZt8h0c+l7E5hmOVLj1WgAxp3ZkHhoZIrsKP/xViprt6gGAZ7uNGdjsibBshWOhmWqKCX
23nxo2zlcISIZP48WGCd9QGFXluBnj8jxpecmoonCxolGxBv4LWwHtRpM1bjF1g1R+o6kHHZ9K0v
p+mq6cXBQKSWh8LaIu1YP2k9GkTAF6IEzxiZ6jwVQAQi2QQwSf1EtoHjzTqXg78hW2in9VOMkkTL
6NIrebiNL8Fs3f+kHjXV+NTHkzCZJjHo3F7Mqtq0gIl1QJiK/GyB6ORsgljs7ILQ/8DAXUamTy7T
IR/aZBVmSlsa4xRASbI1r5S3bHOkULsK6UewY6h7bCTDPbYgQZioSm5mm9fVbOnGIgJAA35taqu7
Y6XFwvBdRLNsvo8AVzyaNaqBy8ZBkkrFYMAcGzoKC7u+JAw79nQAjwl+6y3g/eMwvtVokfhOsO2a
bF2UyjuScxw2zYWObJYdLMB+DtRjqd1BnLHVPJSC5m+apgEE3mg6iv0rc5GhHPp3g8A008YqGnDm
ZkHfP2wNEWW3jOoDSOXMS+xV5Yobqf7a+9bdBUpwA/EHBLA13fFPVZsEp3Js6Ch2wPdqG8iiTT5k
pGbqK6QgjiV01r/O84JBLuraQQqOXZHcjy6pUf9d5UDyUy8YTXQUgvLj4rK+XpUAQK6m0ULL9QX5
tJFZ7GIn+xmQDX/mAiy7MlDnhq0hPAqkRJaUT8jgpKuSe9UO8PD0JWsl3kJqi+ODW8mLm5QIXUQQ
16XRPuvCfTuUxZJGeZuqE2Br2YK66SDkFcC4K/X6ULOe4hI5XtOMltBC6rYKcuAHfWxQmGAdqi7I
NaR8cOhBdzw2Yh1vDR3wVTE2CSxOtqqxzj5Iu49zwwf9vRsoEDUs5hE6omGJereDMN/mMTKXjP0z
4Wtfx0N67Wr9cC71gd+d+qfeGghf5yW/V6MlRqQRiN18MpEdAGcAn4HvBHsiv5OpCNNdLmPzTD2y
qwIPJNALnchEq+utd+V1+4Lwf7e1tCzH1xOaz9isqmOYyixa6qJ8M/skOJA/zfQC+UcBB3hQro8J
EQcRnB5Y+h45EvTTFr/aRgq2UYH1hnAs4r2ZBI2dBpJnI8q8lQlWPqRzGntluoC1OHplrEBlWz+p
VCpAtfT+SUiJODh4cZ56bjaA/VUhiotAOpjXcfYAMixfuYFXP+IOJQ2OqtQjQCXLKucyegrwWgXw
Nn5iqO37HphWNUb7aiikRMF3P1uaORPfvT7WDpWDOwqZkwi610MacJAN6tmLVrAN+Lz878q1653V
cWtNi9kV++V61nBjml3f22h4fV8Uomy5BuIG8optc8f6vnrmGvJO86WYvapW2Gk1H5cC7qX2uy3r
90uh2UVrIWLpoRx24WWo3gFrA+LHvMPmoPXxAKoACfOgL9vw39ypvF9pX8VLB+XqtwSkrYdKhPWm
NFzrG0pG71nbuL/qtPhL69LwufJK5LSln+5VkURPykAVEHm4IBZIgAd/c6o2AD8K604MqKyz3usZ
0pMh+2nZv8mTYYeyjLyCLzWoyo0JtPjhIreyLlEGCIwmIjRk4+Wi7fFYJ8vsQGP9GOlBcpXhVzM5
tJH6vEKForI21HstX6fQF14CdVefqEE+CKwHGl9TT/qZxDsEB4Qkd5XAW8N4SEO5iOTWNDcoEQK7
XdAle57E0XfcbE6GKNQTqma7O6TJ1qBAru+WmSISZYNBMhceuBfNjj0QhI+ueNnYOa0DZvrCKuxl
KSCFQM5D16qrJf6KU5Qqg7KxKqN7NTae5rN72Olbw7PV2dOHdxNg4H/rBs8P5EB23dJzFFQgFkU2
mu6bnK2pmfzG1ZBJqbetzn/X+GtAhi28gyI2vNsCSHvD79kOOfTwTgNchpeEW+GJTEBrQFXFfZ3n
sCFDPsvoiqtRh1eLxezCUAv6YLiBbqMh5yvHa5pHOJKQxmcawv6wfQQgpEMwdqiAQ4R74gK85iTu
nQZpCqInCCUMvb7AbfwKntBkG4RBv8dzPr47rIZcQA3CRpW9gQKj/Znrpb+0kCi6GADkHYda19cN
ir1eWcHOKFnSfhpBA1rY0liPRRCnAFrJJzak8cnB0v2GjNRHySVITpP2LzwgSqhCjT7UZAi27nIb
MdA019nSVHX+C/H8VTzEww8vZ1CLbszsiKRKCk04eKh8SL6j+K2/1n3tPNoG8A3NRvrJdiwHBZEA
45UDolmMa/bDZlZ+w9vGlgZpQtqPrBwIeS59lcuFw5DkapX+o5KogLMyv9sLFLd9l8aWzFHmKJTe
YY/rdML4kbh4tbEr94H0LAN7G0qGS8mMHy5LQZCKYupLA325p3+vKoKh2yMd442rjhU2G9AC+8u6
RGF3ONjh0fWz8Ejd2Ya8X4FixhNZIvBXgh/0w23qgx0XtwbO1Q7xsQ1CS+HNHvG72JAaC0vk5oHg
vAUHVWiBLO+aRksdVEIKRXYLGq2BSgIkOdwS1pdMH6sR4JdWg/KwcWglqKorKE4C6oI9LH5+7KKb
bvuK6ha3jq1XB5h6IGA8OXVZjd9A2COsXnvSep0n9ZXdnZsGcOF1qFevbY00GeKTzkM6QBnFQfiz
HHtkEg7fDxHXr9Srotxdzf4lsJNHHVs6IHH6TT041mWsJLiwBI2nQDLEwElGdgvQpgsdUWMO3EXY
GbOSgqMw2FeGvfRBNLlzBl7ua8h6rRIRq+9yaNXCMpzwnGEb+5KzHAzHgcIDIXp3A0oHeVrhy2QJ
wnl36+vfXFNmR6CrU9RG1e8NCsrTE9lA4dzji/wYzuJXmkAevWcgSwY9gQPez6SetVNj+8BLW0VU
4ebXv9vAqwqBdaDB92RTkVnhif1pEgPQHID1JWddeqJGaGA/YMNR9xMFsnjbRAtmRlwODRcfjlGx
A88dwvncq5e2Ayp2EerAU4eeb6yGFrlvJvX0FoIJ5UZHePbL1EuuXGrvlkKFwD6hAHn5xVU1cqsF
iJeSnSZYFeB08ZCB1XVctiySHu9Dnb7UOs8/h3XvnwFBXaFGH8j00aRxgCEXNAAcjLUabI6/n1bC
WJcIpFvRFQn74AyOHvwktcmT3OcVqSs63AoSJGWBP/3nVLMf8DrZkeeQMwcOzw5+SluaL54+SikZ
5a9K982X4J8eqvWBT0hQKYvfndYo4S/pUDkoUd18tWajVxoES1A6PUVIDZwi8KZ/iwz+NOhpevP7
vv3mhvZSgFTi0csyeen8l7KxoEsVJjVg3LhnNg2KFWMLDBO+kUFQ1MhQNZgbHp63qC4Hs6FEGrDv
PBP8KdFqDNXcJhsyHCBTDF2k6RC0K9YaOCCGAbdwWoccu8aPV2UhxxxN+DMGwGVTjj8Pagb6/dBh
SD+iDCi+aSgoo1/SB8MZmfxeBMfGRfSLs73mAGJPdStu3chFwXq2py4NWEEJ7u0PG4v9DoDS1nbf
2tZ7g+i0dk3EHz4yQDkNb+7/WKZSaieU2jUSf6gAe3IaLZhB1diJjoQxCIsX4GHqv7syWwugP16A
qA/PUQiacbIjHB2srB7SKzyy1PdCpusmLBNAdSC7kQ6suVLDHAEJxFH66MPUjrEDL0ac9MNOpnq0
B7DrEtXEATKtgKaXbPX/CDuv5ch1JEw/ESPozW15qyp5c8OQuvsQ9N4+/X5E9bR6zuzG3iCIBEhJ
JRYJZP4GhQf92GSTfjTxh1g1k4NJhFLox3pusG+Kqk1UON3atAG3+AKZzRBA3h750C/ZU5JgNo1F
nido+U1kjGp2dUWLQ934vlEv3fms3g3aPRAFXPYq0162gdcfozAcX3pBinIIy3cEjeKd72cR5vZq
8Y7nzLVpEu9hCLrqLvPgecl4F3s2S9ipP/Zpdzs9dBx3p/tKsnaGCfGbymne07rNwMiP1Ukv3eok
j2Rzm4IsEn9tVWyUDmJ15U3erkBvBZWcFjJJ5lk/9DQnW6hP7zhG8aXsquyEF0d8lwexQL24br6M
5kHOVPMwXfZgk65ahIdR7Yt0U6dB9Gr3OeB/rhXpzQ/whCN8An7a6Fferpp/GhAxKsHzslvlpwVG
rL7buFWsx75/iv1sF1VR+Khq8YsdBGiYl4Z47LJC3eOhZizkoIwVSgo3v7ZuM/ph+D1DDv6Z8X2N
qBT5KunsV12rlFVH+uNdq/Sfql2aVyWN6+uQI9wh4+S6YdCYqrsP+iR6L55k1EjNaV+Ug7KKk/iv
kxMV29/cbqL7PB322I7Yv/7rINdLR0Ymr1ZXacoH5Rl6ujUNSGHyJpb3qTwaLS/dRiFLiO8BeSvL
M74HYDC9FyCa7020uG0r8H/ZZvfejw56BYKtZFX5JhvbbjoMvSe2mco+MStTeyF44v2wOakYev+X
UTTvhp0rL6CkfO4MTnLmk6b5JF8fjYfJb+xFqObVj//9Se78k+RJRuK5WxcREpzDAssBKRWUR5fN
3FEeBVoLn+m7L4ONNngboyue/hX/17myq7RFeRQdze1S3/2CpTIbVEr2blmYd/bcJI7PUqRItgo4
juO/4uQVKLlWFHXltO8TGjeJEQvM8kWuD9rK90yWFPO2qhGWg4CQ3EnJ7ZMTGdoK093f47GnpPsA
g6wBDeMVvr3ORsIWJisqTglIBolrkKFeCXZ1qKIYOyMf/jV/nCCCRYY+roOEx5lt1Q9INjUPNnDH
tRB+tpYx2aT+eJ+LwjvJ3hSL/DyfJOfLEP/VO9P2ruyVd/4I6kvyMQt6hmqF69v6r7Uqmx2kURev
hYq7CamhdJeo5A+VbDSuJKCMa5mi/427Ifj675ibiW0yG+nJmGxExFu0MYZ9mBrkvmVsvlzed78v
F9d1tUxVSCCyVK24OAXdCIcULbxjZJ5lnLcX1Wykf37TFqe2fJiUUl17Cni7rsyqS1KMzRo+EBkx
Cvcr2B3Nc2kgwKXXsfM2WmwydB1ThrGL71pVDP845Krz0tQhdSu7EuCtWOjRuB21RPvwHXhsvGC/
XBvfPKh9H4jq5+tkDPMjNAu8ZUzbYJ0WWF+25x1UnrXAVPEFK3VH2QFv1ND4M3/ICUlnfjX6DF/F
eGwXNa2zn4Wn8RKLfNgEwtt6YK3PaZING+pCziUcrXKt9YV48Icmh3GBToRjldWyayrnRe3NcdGS
+pvVCTTcKR4HxKTuqaAsgVtUj8jiVY9anjTLvoq7nYxNVlGesir6kj15EmvWj8nL+5MMDTVa8qHn
bZsozPaB2rQr3y7LV1S4pxUyN8pOdsdK+arcsbqQehevzS/4pOXrSMm5c4oBRaP++S/oQzpDI2T/
hpRQg2DHSvdFhuSgjFe6DU5CHkaKcLdZ573KnhEnL0WcXfLMRYstSZQD2VgfzU+637HvrhyV81Rn
ONhpqjT7MEZDQHWq/I4vXrps8CZcyy4W2/mdGEV+J7vG2OH/4eqnABiqs0gS1VwXfmwvb33+9x4Z
e+OjiVvy3tPkzVrRHm5FgzhnMOrkhO94rzSzUXJhL8VeCRLNUhZZ5fxjDKp6lDuvNMfM3KycpwTt
xqs/Ikcxb8g66n07RTTF2i8949Wcwc2h5f11kp7pPLmDLjxqnkP2qBg//CEZERPy+n3u5+bLf8dL
S+33bhlZ3/EWZ7i1J5/LVPcCqFTUVwwzKg5UVR7kK0aG5JFa18Wh96d/x9H3R7nSGR4aXSso4yTu
0dGN+CGYjGM8Y7j9QEuPhQG5VHbxCgw3nrAAx9p1/lomFpI1RaqeqhnhXfQpxjy+j9oR16BMe7tG
J7QUJKgokCA1s1fLfZIbQGQ/pgOM2HAl932u4yTLLnNQSaNQOs9KoJwtmk77qKeqeiqC7tMXWvID
P+43rRfWk8oiZ9vmU7Kb4DZSIKo/mzBO//8TULB/K0Qa7KCSeixAFRIYm6AD8IzZh/+alhSqMsX6
aYbd1Ws0/RUtz2zdevV4QrbGYHvFVEPL/de2b/Zmj8C/gH66CvNqOAdzM2Tid/O7S1oiSfp6Rf0g
GhcyKGfLib3AZkdeQUgWuxzJW/NnOZgRXO8hCLVtSRHmfurwGkzSkTRgZafWmTc4ipjG9GkM1IhY
06unwWzVkzwCHMbTVh5yT4tD4rKMm6fIkGz+1ZXnyrlQAzZyxvflmjDU/rp6K4Zd4NtvkNpL9wig
Nv2EcXmZnMx61MagfIy8JR7U1qOM+MLA3A2p2r3sIrUBPBQ6+7Jmgf6Is1D5GIQrVEs9tARbv9nj
C1YtuqLL7xyr0Y7GhDT83JMhX4l/HyH7pqEsZaxMpIsuQu9raqPKRh3xtJIh2YDmQsWQZDhCIWHj
j0tjlgjRgZ4fO+OjIE12kJ3vsDqPyZhsWFwv7dHtH8IKDWoR5B9DhMfB5OvazrU67622HlJnyD5i
YeTbOPTLbT53MRX1S0wFcyWYdpmtxptJjbIPYVKyABq29MkSLR0vnx5yfOH3VRjbC9m9NRYUKCWB
2mrNU9IxbS5BEG3koJ/NFEa/UiNrGZv216hHzrmsHVxiFGEsc0mbkcHbYdM+87lCKpjnUR1yzvII
koNzno2GbqfJAbO1gW7bPX4hEZ+jdNMqJpujLDtETYqRJ7QOcO9zaD76ntamedrcThMtKPlcGZrV
98ReDkvzru9z5DClekQzAvNdxpE74RVil28g9IY1pY8EkyoKMYuCbSMyIMtaydzLLcTGaFbUExGO
t0VxFUhW4bSE5ZPXVyYcqhC8OxlZPHMQicpQ9ZuPb5Gg0e6mtLK4LbQIyYxgcsp1Do1zKQvVqt6P
wEnt7nfwVuyWde9Op2hQKLjaf9e15YC8hByQl7gVvG0tJn9Z9a/sA6eV7ZModPK8fY2o08hsaKC5
qFkb/bCR3SpudpNJZkKDj3vKB1W/ZUMTsyYD4VTZRVW67D6tgh9yPppHvy8buqQNTRxPrbHpX2DN
L0ZwLCcITNWJJUd1yhBwXsw5Nki5/xmQo7KRMTnvO5Yq/nqse4jzg3rX6u701Ha80AQ1gH3D5u1p
MLIYNQlTW897uSfSyukh9Bt/IUfVuG4uU2Ofb6fO57vmg56p3aOMCNZpQ9h358EW2Ua0Cj66Zvc8
p1nvW6Ourn7n/Kxr03lzqJyuUcpvd9NcnWoma80WPXvWQMOcbzWsOV5FGmmAzHEPphVPb+qbGoz6
vRsiqalF9b3W8xnaYxXvndJEraB3qaL8ux/XfbqDBDs7F4ZfGlK6XVN271GFjlIbe+keaEn3pFbW
k2gd8aWyaFyotZpfhabXJ1Ol1KUg8f41Gr/PRIqNNAA6V1VWneLWy3eD2/8+6uYjS+neVL+D+TOL
ZLO0T3eB2V6T2mko7xCSzXc3+zMgYwHXWKUg55ffk3vXNjAJNEIceZvJXhQpUEdqHbhrO/341A+x
f7GFd7CMCXk1C5S5R2H2QbGN4clToIO4ZpGeyioen0ZNH1fQ3JstmsEIqmsp3K/5hVTE/V0KluN0
+zBjZbjrPKc/gZPns51HR9gZa3awzUJmilHXQ2OBDHa2RIbMW/8rfVy6TYr0Y4wsaGs5aFDiMoyQ
9FHvwfMNxvjY9GFxUVwlXlSFN7wpfq2tscLMd7I7KTV/TjQ9Ig/mHmCW7KPeFktkzdqvBIlqhKn9
X67vPTkis149SwXZmVn1nS6C6BCA4d9mLrVBf8CC3ocx9DU06MKbVfk4gDNYaL5OwRVB6l09Zyh5
/McrZ+7KhKUcHYdO31XUTJ+/u50puntc4aJFXpGXM/MHCe3OM9T6yj6O1xGunzwrfw9KZDgaeXBg
TR8OuiwYzk037Y0J/p2Egv+/zv6+tDxbzr3Fqn1UvEC2Fz+tkd+F6nP9VBeRu8mwMzgIy6guxhRb
ywmR9c9B8ZE17uzbXCD5xTHi8yDBIx5F1W/TogWhPfe6IVUB20LB8zWdB4MCPg3N8WEVj26zdEDy
9mQZYlplMgKcgNsYhYKerCdqPWcZk82Q7Ksq1k6q0hvL3m/ElwNTUZT8o3wnQQTOZVWdRZZ4GamS
ZZorvpLQQzwislDAnZTx/N9nRhbCn1ZiaZAfk0ULSfotRTBgKzzIhTyUrI+Tga/MB+57/kbF9Ip7
W1CgcouFjIcKVXzQ3tHezVLvZTJjvsDJKlJxidOKvHlqjaXheS5a3LH7lOfTPoqm/hqUg/ukpXG6
SBS3PMnB0qMIoreutZNdhUz6ptJd/sGGlj0i07dgs+BvVf7gVdMb4mVSR3tDMtaAgkcXIVNrnTQT
Zj5ztx4qdzU0wtneJreugDal71s9TlYecKGzqLESQ/hbHRbkSOg7QO1ELfoNaqJGx2xzOM2Ogzx9
nU+tPjaYwXzUfRJsElPDVpuNxJObRC+ZCc7T086+acd3gfWfxsMscKUUqH/JAZFAUsoNai/Us85O
hJMR4H2YX7qWrWRXDvB6xutrHs3UVl3WXfID+KGxMBrdvbdF6N33wwiMCLLiekTrIFpOPXChKIn8
3a2vJxW+W6pxlrM1hPmvJdRzeQHZuEZ88gtE0m2oI73XXmzQsP4WEbpraen5AVCEeyc1k29HWoER
3pQ7qI0wgHrftK/07tpRpS/hIMXjEThg8ftQbXt75aga+tXziOcbkbKUh7f5ao+aVdjZg22Bunay
jSV6Z1lNAIA6fAmeXHBTu84u8QObEW1th1RkoiNG3oUO+Jyu4lfXy4scLD39l2XNqTUXUJGhadHF
cawO9x/0QnclLBiKZwRRE+9NdrqdeiL1d5uIF3CsrFK9YfPbouZQBPHFMDpvHWELtlD1wmRb4HRI
n5bZQ05G8lTOTVblEWav86E5qk+Fp4PhYAccNYN9SVyvIEGAk4it++ZRxmTjkqc+piI86IVrXzIY
zGnovZX4bYMYS3+E/mzygOv51U+N8Gj65rDOh6B9/zOjwm1xkc0zNIqpR64+zDXhv2bIa6iVn10x
6kTrLM2xoXYw3wry8aMMxbFo2vQZAN5w+I5HWvhXPG41Z4XZ2vjxf4nD+D1pehVeoMfUx8SqcOJU
8vhRNhMEHCO2cGGaQw47Msj5uK05sMYezczWoVSoR8V+g9bs/9Mo7jVoDOVD5425yCJHfY76GGBB
6nvXMbTGTVWOGKYW7OeHKCvRX5rEOfXTdqPjUXaNjbmIjuk5VknR+6SYPSAH1oCGi3dKnFNcR7v3
Xe37aZfX2rSuEf6ELUlJLII0TcWFxk3yCeFxgV8hPf415hkRJXVcIV2nr8QUGUto8QbYQ+S3p9Hr
F47Rld2iHnv71DcUz4E++rE+RY+dS63IVFVkzuKoLVfsY/KDhrbsWTY2D616XgbwDq3ue80BLve/
oUhVtnKCnDrNZ7vMSrMOCLc8yVDc23Vua4qQb35dmtE6MKo457WRiyOQlX/cMjR42ft+dRUqsU71
GAbgGxytqNG3FnuDEAT1RcHPc6PVQHLR3cuofc7BRLjDdugwvvor6Nn5uLN8RfwdTESg7Qd7hIwe
czZqnuXFm4R9QHTo7nayjCErHp5qZ9qGaZejHDtpxUW3RH2u+wwVyO9YQtXcHTZ/hdRIjc/6gItC
s00j0FLx3Jhm8EUWKTwDbyyf3NrWVjaCpNRa/ZUf6TluP1WIg3ANMLgOr/z43w0CZ7BxgHEt5cDv
uXF1sEw/Po0iLCFExQoS/d0zBigI5va199jPjXUf+Y7+CCTEe6ztwAHQg9GUHEqVNtsltc/reJ4Z
Uwe6dzBPlXNlqCOFv0DaPjlVVkz6psMv8ztjIBMIsWXzW4UoHYTUYbdO057KvBgPnVI/mrZCwdB2
8k+YYIcwyu5lAgeAMoV/OKmPceEqu8JS4u3YxM7jZL1lg4lQ7JCZG/411kM51t2DS4WraKwH2eim
X2+Qpx9J40cpmq3cfZPGl1vOD3Ew23NvI2/cPEWdAy675f5ayUOUB/sWeDHSFhaA0qUMhsDh7I0e
Ya4m+2T0SNmPkOvMBPHGsg+PRtoF+cq2nQHDw/F3Y5rgdPrG3d9Gx3IaoSxmQLKWWd+is4Hgxuji
FCePlL6HvwU4lML8fDSPKshQID41NfozKtL61bbik+wFyaBf006cMGqLlmoqnLWX6KxbnAZR1EzD
lTHNWjtm+6IU5QqmFISGGS/xDZX47sLDKuIVZfVdZc5F9nmeUrmUr3wtnl4yeNXnNoXPMNMSqOSx
7OCVBiDktkKPCqpHJLuEnTuUQ5t3CXcZ2O95yPleJO7FRO90aaVmvZeDiRuYmyLF5EmOWmVkogOG
NJscraqpfIhG5YaiAQvjH8bQQ4CJxSjFl9Z8ad3irsaA90edDvnCCKr+wRnVGroxhrci/BXgxQb2
H3oLD7aivLPmhvdvt+Z7UC1lrG+U4s6sy0JbaA2cKhw701U+G1TIkbEakhXsEHc9llXDO1gpnnSs
wzZTrkQn8lw4R6RjsglVX9sLrf3ltpZ6Qfzz/vbvKmLtu9fMPezA7vXO5l/5X70/5yW5yv4rjIK9
rPFMehgtzSFtdrKrdezQYk2kC7nTwG/aILvyLFETcXfrUKu8+i5+K4HRWWvQxtOiFKjcWhnrvoWW
JQFiOPNhRO52Y/tTge7tzH3s22CfdMg+2L3WvyT4rKS2qn3Y1C7WLX/hvosH7zmZjF0+x7NGCC6f
VocmDqtnA79TL/ByiNlFscabkoeWEZnpogb3tk3Hohu2RQ62zhuyHG3ZedwOA1gBnTpS89Hr4zA3
JmXjo+yaIPdWg4F+HSSTZ9ZkHf6fXnWPhFx1X+vBy6TBNTdnqMKfUGsH3ZFd+H7Si00GZOtwa2rj
P0f/HdP56iONMTPs5oG0bZVDPDe3bjKe+6wnHaOYGoI08+YrqPVPq4SDIHtJqaQIbvLkkRusHtsf
oOiADnIx/tIGHwuFrvgqohyxG0tJ75NWFLsyzYN9XBrJVe0abZlBpv5ge7odXBvzdl0FUDB54VeM
HtpBNumfo6q23EOUVr8HZBdtkb1FGQd9O60+lVP1u8n/HMmYWqHIbvOwJTWJrxtYCR1QpJtMPIdj
SqVNkb9VeGKs6rQq9rIrqm43VaP9CCnVumjp9CvQvzyh3CESUb8qbmLsamRk0AKnC4MxXtVk5fey
m4TiqXVt7WqMWfYswPPKsAjs9Jz1NrdfP9Zg1vp0O9rssOQoylgAZoDutvnOd23rU9Eo+TkFbqdm
xsarmvz2pKAreHRiNd3auaUcQvmBdRAMhnuvzxdlYeBFkArjvcXDpQjHj7AOkJH5O8wG7X/CU8+P
9McP0Vn+X7MJy9kwrf6+yH/C37MVT8F0wfXiBy8ov8rB8B5Mp7MPyqhQjO3c6bMaMSByFf29tT0D
mj1WHtqoZi9hqR3kBFVLzCU72OwcOb1ycatAW8iBgRpgqbQ7I6+rw+hhyKHODf5kbbKQQdZv1UEe
5Uqj7IQTLEU0wBlN6jttHINdCKGqWtxiKFfvSDW81l0xXJSGJ5twJ/FRVCXP5z5MzwP8eYrS5pOM
d56nrQDv9wd7GOsXlA3XMm4Obr1xEiPZ4XNSbEa1rcYA5TbjyS/MH0j+s/5vSQeaZAHRFAN43qP9
Y1VZ8Zy6TXbuktRfyHit9f4yDV1xxDygfGudlTy74i48OCb1EsG+7A05S9Tgwi68K2D8baZ2Mhci
DN21YpvRXlcggrdJsUpi13kfQyOeEBW3OxV0N5V42diXinLvYzQH1JKqtwUagHudrouT6T7Q8Ooj
79uzEWcjAp46p/iQWo+x5qdbqzOsvZ8U7oWS7rg0TTP/SiKbBYA1XpLc6dfQk6Ip/RFUvLATEJvn
yk6q89iE2aoZzeRd2N2yU/0aJomA7CSAyeywPWAPlxRU7f40YTCh7NYV8cKtg2AT26NF8d+H1zTB
WJNH2XwkHGCr8kjGGiDeJ9OJ0LoDq7IaesQ2hzjLrtPcQK+07mJ4hbJnJ2N2bSMXhZ4x27sFxhWJ
GlobTNrqexyT63s9x5zeb3CqhSJS3csmHDt9KefJrpxceKW+nGqL1LOs0g5p5Nx5qlM8FNNOPiXl
sxGN2HgNpIJcF4T7jZGV6BfKMphaIKXfbpB9MRHTVe971/D3labG+35US0BgWLvIo2aOTV1VHk2Q
5HttPpLzalXtdqSqMYzo9QcQ6MdEH4zXGE3cQxRlIbcTXdPNIZzjYLSX3SY2ANPq0QPYQ2xMJwD1
QfLspaH1NFqt9VR06b7Og+EqQ5ZPdSDWTfsoB/sMqJHWGcpWjuZaEwB2B3VEJfWxdt13kLPVQTYK
GlTJ4rvvl3yJ8zIm6Jk88HyRDwsSGRgbg5XcC8XcxoOImockEOqCDIS1zOoZHzffpsMsoJEqKmoZ
orrKELSmbiX4h28DDA8e7bz3j1TVX4XznHmjnh3khq6pqmRvaTaUlnlH57gVhd5eKzZydNLHaxmk
X747w3YjKzvKBYzsKvEMk5jXLFYIvEiOalVmPDtzN50ny1E5WYXuQNIp3bNTTe+YZQH+ZP/fuvvE
adOvKShZZbVth29s9o81VdGLyP6R6OZgoLBapSqcMAlnbgGFK3E7bGXXgKyxMFxdXAbAETOboVlM
lt2fO7sdzvIIuUtes24Vr2U3sOPhbPLbISoAfz2MyeDpGDkoqNQ+IoqaLMhOVj9Hw17Dm8g/0i7u
VyLzcKCBXSAWtjeMj5aRjI8iQNxX0dN0J7uREqHwOygh1ilMkfO0KTxNceDc3c4qM39d2hWen42u
sLlPsk3sp3udnNS97VgDWQrnxJYKmah+Gp9DJ7k3xmm6yDFbKV66uLDv5FjQK5+DXoR3ckxPeoFK
RlWe5eDkYKTRViQu5GicY6SgYf9ylKNlZ5sLY/KyoxzF3CRkA1BOh0JPx+emNXBNdaMZ9MhvBBgb
yde8qvZylG8SVCLFxBpmHsUPvlqVR3Uo1Y1jWfG9bJIm9laaTfJMxQ/0FpuytIR7o3lLOUUOWKDT
tkINvMV3LGdFu+dLFS3MmsLvkmwF+X13uF3lNk+ZFWBCe+25DriedLIWSoMaxrjRRWl8kqXRQKYj
gD0khv2YpcFrYbrgMnO8fkXCQyZAmhDqRIp/Y2kJf+lFuo37bW1P7aca6P2h6F6Lons39KObdcU7
zosPJFbUBzY2kDLyCo7mHNdjEwb8CFEC0fH4NQENaDse1CCRRVugRuCgcwXahevYrzGZ302Dvchm
qFr7NbTxWMr8BiIltlEvZn6VYZsUH1aB7LNltzVsMsMUzzd+neBa+KdxKHbfuk2PK6vZxdbqO/av
eakJGFjJM9yKuEg+YlVSjzCHIw+YXoaJFOll1bybcnaVWdKOK8Q2srMx6Nk5c0sn2r6UrpmeIXUE
bMzLFq74DGoILJ57d7XgN6wAVd+myrMMtbbWeADpC6Wer2wp3lGHw7H3jEzpF+Y8HbffzZQ5CL5E
6nB7r9tqwmDY4NrQgKQKUnxO5hd8zL9/C9OoQXOV1UKtjU8AsJz7zkmSK1vtf+SqwNDibt01rX5b
UwhNW8UajyOyWi55K4hg8mxTbaxlWaIqWA2x+zoGZ9wGg5faHlca4KytFdfuzrC19sEwUO7DN9r6
oVTAz3xAurlD4hKVde9o1Opwl+dgc8ERRz/8lDyFb/5QRqdZdkXTXYbUiY6YH8MBcb3wzSffeJtR
k5tlRv84kErYqawjdpOaDI9uLWJuHy4C2PgIeV5QmnTMtbyQL8zuwsIaA145A6SgqMIfqpU6y2FU
+jvf5fHuphl5Vacv39VYbOVMpy1wdQrK9qERrrsTvEu3uoi0J4DRX/KPM1gDUFp2XhrQZxsx8+T0
1uuupA2RiJv//JLVZBDp5idkPzw7YACcmzpH9AcI86ron3q/bldJjwBD2Sr966yzzXatfx/6JN3B
L403Xur0726cniMbehB29MXZ0SGvyTheb9DYMpNYkZmPyDwyDSWiBm1svrR8mesh6D8KlRIpkr8v
HbCUvQ8+c93kY/fRioRabO8/952XUKUDvSzjsK4PFiXn5xIhQfLumHrLeFkkZ9W0xm2eFeTLy1k5
9CYGKpRfga+b279jM/4hj9jRpK3CrTSLjU4F9utNrU6bto0i+ESpOKXzQgKDuCUbs/o5x4b30pbR
DytRjFe7ypWtAiBm7czdyYw2LAc9QCz4AtwrbBIDkUY/C7UyF6aqD/cdEg37pk3q7ZTm7VNhB//I
GUrsHZCmbFg+q/Vah2RwLBAihXs9hSsdnYJPD2eJySiOiekFZ9nEYyZuR9+x3uL3BCz417Tozwn/
l2mWVt7f9p8hJa6dEwBTWBRmZJ+p2GFHW5SIrQu1nlbUZ+1zPTdFrz8FTWnv5Ly2GZtpJdRWX9p+
znc8BPpPJkc9F7ayEpabHYu5J0PfjeKUmFWZ3m3qX2dhoYT9IVT7XWCYr/8eQKVHPVuuv40Kbqyk
BKKWuekxTKf0KLtAPW0c7v705ZGcE6u69XsknoflyK2ZapNd11xHbxcYKQEgmpveQ4zlf/qGZwk4
UMmiROUIPYtpr7J+XJuOHgRLSKnahp3ztISyrCiLLkyMvVpEyJpsRh7F57SI3yd74tWo6MVZ8Wlk
/LsL8L7dqKnCzm2eYk+Zt4kjC0tNG2M3C2DQMgv99FLUJa96R7UQerK6dPFX0KL+dwhEhGTIlF6+
m8wBPGVrD9+RYr4SKqRgXTJ3Rgz002ZwBvvRqfko6jErf1EC68lv/NJ8Plej0tqnQLNyuHFWfwQS
EJz73C3WGTK4L33ef3pxq/8anXBZqbX/VSRmgB+a6d/HvAq3UxAY+1jNIjTXRbqa8OJ6L0A5yx+g
OxOgT9V718MALysy8ci/lMXeNNVwp6hKdW+6I+TACUZ9jqY71cnw0mjw2zPLL9BdiYYFRa/h6szS
+fKIslOqYa6oOPD8FmCpERnjK7u1k4l9aNQJYwcHDqu/+TREvBAhZ0m7DuNhgpdVlUs3UaI79BIQ
PrV0VFw1kcHdGsJkrhPGV3s+yhznQA04PsmQbLS58CEAIy++Y/JoKsdXqxi8Wb3kCXcJY5NlBnju
uVFd1gJOzGq07xEEk7EAsN8+qzOxkLEAusUVMmV9F6Nn4dmKTv1sPrd0eTJmcXone3KuNi+gWhPD
AEuvki0LT+cQsElcgqWZDfMwt67TWVMIBDcIqbmvNHa/D625pFSAtm4sN6jRkCN9OM6NPMLkL9jF
JnCCwEr6O1yKYAPq7TlOtGXuBD9riIIHSMbiQVSuQGnjUxOacZWRRGTpyUVIJmBRudE109vIvLTM
PEvy3oAR0sbyx3ghY0MS7lIUwjEpIzdNISAfN3LgNjpP1liqwDSa6X9B3zgH0QzitUfrNrWQVy3Y
3h8HQyhLlcfy+5izlEZHwbxajpNeyOaixcOj9x0BYkxUkCQ8R11QPBp+dS/jKDjE6zEpTMA5ISRd
Hbvdef5UGw3kF97E8rqxpy+RtPZPqNEOu7rxYPmwmFryCcDym7t2aHWoT2bpuKqsDNmO2dYRj01l
H+hctJl9HWUTTA0J8MQzduY8xUEZ5R5Xvr9mZF5/H4XGD7s+1qR/fgoWxpBuC/2hQAloOyilvx8c
N0DdLaRKD9b23eyio1ON3S8SSXdqW+tvRlr84zfhR6sM8V031DwvFMQotUKYT0YURosEav2vAC/c
jocleziNz2cKYQ74eGh7TZbsgL87pN94hCdTFv40IlQW8ApyTSNnNRocDT11foYecBgw3C+Nbutr
1pfsRvOyPyPcrK+wXBfv81R48MdUmbXeTVs8kkDyln5CfcwyWvEI316/KGq3KUot3LaJb+5FZ6Rb
TOcR5Y9L882EioUlr/isFUtd566l7VssrJ8jFlu9MQWfPFCKFRlm82gGlfbAZv1DxoXVkjQnD0NR
Tl/raq88m4p1QA6w/oyGSlkqoTmdxrwK76tKzReUGqtPE90i7gLPvjo8OE9h1/F9mQccwzlG+v/h
7DyW5NaBNf1EjKA32/K+vd0w5A69J+iefj6idFS6fc/MYjYMIAGw1a0qEsj8jeWuMFOMkLn737t6
owp/wE4Yt7fBLzt7UTnZzhD56y0OsTnEcoyqwMDj99RKHO+MyIWL2XLAOjZzR/y5yAlyqiNhwP9O
s+GoUP3/My+P2EUZTYZut5E9xq3rXzxMoKM2zh9liISOhsRkRv3BNZ1kGcB4RGJRrXdyOIMnu1V7
7E2SuvoFgDfZF7NBBjK9eFCE2I9gXIAiyxyTl8qa2aAaBpRzqK2HBpRHA/aHyjdeGsE3HSXLda6I
aq8H/AmSFMzEHCfHNGHZ4GfHQC26p7ZSX2Q8HTBOKrO8OhtN6t4bjZUjqcLnANC7utDNeLpTbK27
dAqKHkGZ1y+9qfRLN+sTirw6O3d/QGQ1Lz59E8kj38MsTTRa8dnt0LqNP0cY6bvWR12ymaMe4nsj
HHjEL6oKdTx7XF8Xa+rON4PpBbUA4xAVubrCvTk/tEPVLvlyZs/uP+T5/SfZthu9WDicRzEKi/Nn
JUkAWaYtOdO5q/H7nkKblJ3s1qXuLwsQjByszPbYx1ENDCmZPmNfv1dJED+RHBBHxXOp0Ff6+Dl6
5n0YGMqT4VFWo6qEOc7s2SmQur4TiJ2Zlhev1a4ZDqndYz0zqPZiTPJlV7eW54COTey9rzj3Qx6L
75Ot/tQgYH8o1giRNO7Kt4rnwdKD2vNsoI+z8sWgPVbWpKxSnm33SmVGGyuxxktkTBUEeN04GSQL
d62TUoduST5B3wE0/ueSokf8n11r8t/asQ62cu6XadJw4GuMJ0i9GGA3bjV/erktS4aGgcQpUApJ
jCRaVh22GrWodECt5i4qqpLjlWlSG/dU/WJbeLnogm2BUBTt0sp584DsdpP90VrC38n1clBeQLsN
e7sC2zNPvS6al5uDQXlkVPtx0/uq8oDdaZEswncOguI8uU57vcgu5JSdjsbV4Uv81tWDaCeo072l
KgIwjQsnu8CpZg9PvN6CO7EfARlq4CYS/WevrAvDoUA5Y997zw0wwvXxNQob+wBeILiwz1NXuu/W
7xwzsTpz21+OEAcVqaaPLAqX2YA5z5efMWIF/R8/owvs3z/DKo2/f4bPhn1Vq1Ujf4YRN0L+DPQx
jY9GbeDhAuw6JxVaUjNBNNGcS1Va7lnMBFEg9TDbujBdyq5Sxj0fPSUiy18r8DLc3IFek7fap1k3
R9sszH9CF2PXIjW+Y4htLCrMPJ6wnoo2iRnja6MXnL4bU9n4NljPpAT6cuUc4CK3SKterCqhAyid
IZ5BVP/dbUZNrGrko3fVDPGUo7LbNfrv7pe1Vt9BDtbjb3mDSZlhYLob9wj1IKWV/e5fXdRk322U
apfexmuzewZQv0r0wDkmhRlfv99poT91SSKe8qD6Goe11j4BFbPW5eS9AF1xyD4KfQsj0XiwfdRd
MRxBQGfCPKAY/F9jHD9xPk/fjTDtVsk06BcTzwNkktsAJ6KY0vd6RI9joWUVEK354gMxuC/C6g33
l+ZACgu5XezqTCS9k4Vllsk2L8NoZc4UNnlJHZgKYnqcNJhtbLL0lWsOI+pyTNCQ+AAmYEMMgQe1
HAT/Y5MTOHulxWvbVhsAymlTopfTt6jMO+q9GIRzlmvdyW63bgX8MUSuA701YFT4azVYH6fgJyY8
NnKJMqJg8D/6cpyCtbKRFY8iD++HxHS2Zj7o69oJlUeY6RUCxSBODKP4TBK+Qp3nL9IkKcKFNzu7
RLXzg51dtDDRg3wzKzLe8NKMh6CDTaQFFQRO3zX2Vkm6KfYq/2xN6PzU22FCck4S86XJJOImgMH/
xOxaqx86fyzQHumREpm7cjJAhGLXyXlYhS2trm/2VmRnACDG7IfB9iWIi+HV7IW/MdB837tqZjyO
mfd1xjQTHOUMz7D1xy7VzqRI1rYNKVXqYjiI0S/zOhx3N5kMzH1LiIiPUhADj2Nv108JWCFqNxty
LQUgaTV8Ajbyq2wi/Sh7YhzUg1qCS5HCRzKWaNYvTEi164xmnlEOCmbN83I3QLbB8oMEGcxi2kWg
dhbFrAR9o1IoVvd7QLIt5IBkYMgV3iiixS0mW96fFf810G063c4vXpJi0e30jbpBJxCHpZlq5AwZ
Qk9jBDRv3qug+Ri4S71Bv7P0GwV5KM9B46+sm32kKfcyJhJDOV9ny37bObtWyaAXyTtova1sXFWv
9hYEUU+pDERv+MUtzXF26oD6NdrVIMGTwbqOyj+cM486QieHP4F056CrnKNHCk/BPzzdrw88v+Jh
retvRWsXlBxtlcxANO60vqv2KCpOF9MBHTrZY/uqlhRrtagfjkEH/0TDq12gH651wcpKY7HwrMLY
67h8IPiUaa+92vFNhbizmaZJe80bNJQigDJ7OarVLUIntR6d5WhQYLrYxOPDMGOHcBoq9XGHMiU7
i6oUl3a+KJaeH7Na2cpeo0/iovo+QuRQGja5rT4A/MLyoHY1tO/nprwMw12nUNce591vHVIIvg5e
5+Uh4NkCetA4q3Ity6GJVoFejSu+i6DTkZ9BQr9v25curnc2guOfY9h7K6S2JvLdjv4srACEHnG4
ddVK1byJY5VZPvVe/5JmmfXpq5To4SHpp6gwkJ9Shp8yriAHtiSzR6osUdT7uB4WrT49Q3MRzw40
hyddfCRhYLXLsap4aCvVRfh2+0xqxVrqRd7v5NTJTbWtEtvVih1YuihGdzi3SoDyGs/tPS6o8ZsG
7EaZgQpRkn+NU/IeP+HC8a4yHqWQdOKXxVG2bl07jt4gr743bGZIWrv6g7z4PeR0T7U4zP2Jhan9
6Ys+PRbls5/hrNLW3ri15qRvE5WrtkvFawpe5NjUWbjCkKb/yMekWvhsS1ZdVPbLalbRKnL2hJVt
pBvZDfOov/cq6FrzoDM6+ZNuadDxnCjeNaWTbFFmRdcSEZWHUp0OKU61Z9mTl6qonnqA7sfIVYEK
zrO6VvnpBzpYpLkn42bQNxyUodNZAxkUA1vN6vuAPt3G5aGGPvVMSHDlFYfz8Fy54i2sBn8NxsSq
1+ZcjE8GPIOGMt6rClJsG0jc2fBgwNotllndjOTJcvc4lXrEh7/LsiPuAjWQ9yY8g2UukFTg05C1
w7Up+/IS9Lwgcf9RNrfYVOtZt4LUBdY/NLaNc7R9Raz01uzRu3S0N9Emi96qu4/SsOrdVOnKWnb1
kb283cOW6daB70YfBu4e1cSHtjMdvlNWBn9vjqsqgr2N2WuHNPCbdxVhjjnc2BwLZjA4yil0k1rL
FjWyHeds9OOdzGSPpObt2IG2VPX9jIVyHhB14pklijcnNaMjWtvNUnYjNOM3YeDFW9kNENRZ5Ek4
nWQ3GY311Pv5flBQWhrDGNnmoaoX+qzBEXVI8lIQSg8tZKUPf+vohfIeG311iEQgVu6gWCcTyugW
dxt7o5L2YDcAXH+KRvdSDPnvltsfVD/OrmE5FlXYiNazcW2jBt9cMgHT61yRS7vadRZKRIoAa47v
alkpd9dYYVfN0hmAkNa14t/JyzgP2+Kl7A0oAnNYRoSqWluv8kbsoWJc9WK2JIs8VPYo4/vQ3Wtn
j9Q42wO7pcoZ4/90Mob83kIV5SHT6uRBdMF4SfBmkD0Zl5fpBPUheEAfq1m7HTYouBanRyfutQIH
tDA9/tWXTRkMEp9PeGw9yRBmAmQqKK6lRzkKDCur/B8lwPNzkE0k4vXUGFZTr0erssMY7tqXQ6oe
//TqZlhAGEMYfCx4nKu+t7C6cvwpXjvFt38Wemct2PcEj2wLqp0dgmMNC8s62GnLWQ92Qz8zHvoe
tK0wo3vZc6puWCa+au5kV7fTYkcBzYFGwwKSFTVpA07nM6JLVQ2xNdBge88c+AWelz3ldQeqkuM4
KWm0hiJ0SxGOQJDVktMEliWlFj6NvWvdoYMEImnWGgIFgpwlsudbuaoeh7OHicujWqNrOLhsNHM8
1x39CU6x8eRCcV2GRQ3hf+6GHoYVnpGaC9kFbm48qXnETsFOH+UqLe1/xOo43ovJS57IoVqidB9j
eCVPThlRNGwddy27veF3D8jyLfRGa8BuO8WJgmy8TxQMtidENR5IMQH6ZD/0HQExuDS2+JW27T9e
kw8vKPW4a6+y/eOIisbJs3lUhXmivnpu+qGndvdr6rxV45vGN9JrYhnk62LmPrGVUO8TJEMXMmMQ
+SFHugwDadhc6n1YwoWVKYN0zo60npJebituA3KFhtUjPP+Qg5cVW8ojykLLodWU16qfIR/UgRay
mwbgdgbMBHkFR8EbxzpwpLHibOUoYgLaAuzTeJKjmpYDoE36x6aWjMpFhleWqgn7Z9368cKa3OY5
9Siqu+kA+dgLGyD2FHi93By/NTA9lQClGkvtrIvudTvP0tUfSV3+MjpXfcf/Ilk2dp8+F5RjVm7j
JPdW57sbFKGmUxM2yAfOTAxgbNPJyxtvQyYquVd19kqhXifPEZXMpbzVfM9yMKcfWqjunNHE8iuh
+hSxVcTKSKvJ8LrFBG7cH6EEtBTMQOqNJw+qJUShT33uyEslB/+aIqMtZiuto4y7v+bIpryhVmKL
WDUGifb+KAor3lj10C6BnU93naaNd8ncUuD2scWzirWM3QbSCB5w21VUj+bJtwE7Kh/x/uwPX+IR
Ljz8IeKT35iHwkQcPKyt9r19s1Nfe3c0NzhO4BOXtV+TRI4q4AaTX6P4ovqvA08COc0Iquigwukh
E8qqKY4sMl4owuso879QTVnJ5VVCHi4gO79uG0NdIZM+rnOrcHDmHewHE3rXrkjdbpfEnK00Pcdq
HLDqTx5uCc+hyOcU4jWe/RDyv3ad2WmB+TDa8Z+Z/diSg55nghkNF2kBNc3oURKUF+1PS3bFYKbH
qM9+j95iZZzzAJb92OhIdZFGwSTZOoJ7Rqsg4Ol3lP1Cy363VHWIlkhJNKtb7DrFdVgimypV+IWG
ouNKV0LlqMy6ldWsYNmanVOTxPm3r+SLOLCQ6ZsjtzCCOezeDWDyFLGaVWwhbeKhc/ZeU/QJVSQ1
sWLP7o20+SbDjlk0lL6KDJ/5LmIvOOeFeO1BbAElgbQOjHRWG1ZYHUFbDog31vF7Vpnq0h/pYa64
5dGJeKuHxIMqHpPGVzG8TLttF8Tm8jpWCevdDpUEjxNGDc8UJ7jroGD6KVsiAO1db8QfLsIrRQyH
CqXrQDgffK7NraGl4Vbuaf9HOFGbEFuGOH7JbRGFiMYndnTwYYZNlOw4ktkcNo+8klG//BMD7aec
5ahR+i+mY1g72ZNxTR7L0EcP0V+Nh6UMeokWr3oMJhHAqopzOTjk7rTu0LBpO/tJDPlLDsi+bE0T
r36OKsWmigsSRjIYkLtcuUkIv2HjlrG5qrD0PhrzC9zNLdPbyb68FPOIbKlpg8KKkqKFMvY1p+Ey
s71dYXzqmioOPjvDoxcDiHfmi2x9if3VLQJzp9jD9r+myVg2+T8GDX9qR/iI4wNnRQGo6Z4R79Pv
42DcDnNPXoCfb/R8zgjPoRiIK7IjlGpl13WBaiHi761BXHfPtt99a4tQ3Y5eew+8VnmIhe4/ZJNn
bDUTfWrZlQO9MEn+2Ua3aazKv84D1cI+JUWWPU8hrmTOQxE13vVGg2Lop/m2iIlyH5igCcz/QF9o
MFp3fdF5C613m8eqKtrH3qG8y5YSPvYUT+kSgknd1o9ywqSl6RJ0q7hXgj6gqOFNryNAtWUOgO5V
xr60+j+jX+dx6H00knKvayM2LbFmzR6SO0lORJw7gZ5XJQc3iOwXdbD+imfIpHAM0x5ab3TOzlR9
m9w23ckepy3nLFuc79HryLpyl0fR55e4nIHodbdNQqoFajgNF3mhqDheIM6yUyCZI0OuikbwdUqs
w9NqAd1cR+Tk21rXDbJFWbgYNwnv9/3kKJz62Ul28yUcAQTeqlr7T2jDHrfAVB40ashvGCCfcl0U
j1Re46csVXdZ0PZvIqnio5KMYmnMsyDct2sfCt5WjmZlA+JVS9wLNTT/ldKzvFeIm/TFAp20qJx8
eOsypQFxg+sHzjJnLFvtQxL6OI609qXTIuciW/JSthl0KJE3O5QMqJFSuLMvuq9ilmbhpDvxwUN6
cF4I2M++5IaxRWlzdi8h1Fa8RdSMXVdomguRJPFnkYboTqS4EXiRmTwmFTsopVD7726gvDXWUD1X
CC/sfGyKN91YTm9ao+3khDxlM8EGpbzryVafTOjhq0KkPXLQ98kY6CfIz9HCEFGCEWLNo2JuxZ36
uyVj/jAN7Fl6zL3RY8ttc2U6o3a8XYYYZZtRgDatu2A7gQSlStlynEFUHlguggyyVU6BevJwaEsL
zfksiwghAxxgTnY+qY+FGn/KeDF1zbICxnbWqcneVwOASjmQc2xcKOg03OltmNxVMP2uA9m8oWwc
wYOiT/rzGAVn9t73/agld5KHLC+RALRcW6TcYr9K7nikRps0S2dZdTu9s1VsQJMaq1AXpsCdP1/k
AHLUxdaMlJHdeP87ZlrWHg0v5w4JRFLOgSZ2UEqjFwADBoBz2ECOIiIEzVprG0dqv5KjwkCjxLOo
psousDvlNNo1sIB5cjig5lUjbiMH8yHeCpwWF5Lbl/8h+MmuPhXDyZ6Zf303tEe/XlcWm0KzmtIt
74Mi2wKnbc7oEaqr1jDGpRCQrwe80p+dWtxlKqxG23fTk0CEbllYYfJZOWWwoGwekUkOgCC6LmyH
TGtf6ixZI8uR4L2h681GuNAgyqxFegQuXX0ZgqTYZXUbHbLUwYM3hzKWO7lylpcqHH+3RGl0x7DN
1rfQl2lCq98GXVd3X+Kya6lGvCI1qlffm/CxTdLsSkpsB4RGZVedIeOjzytR1Zz0JDHiclR2JYL8
NlnCzW/dvHOWk4f9UWV67h37wHDB/iMCwI50m4xRFfDgqRRLZw7d4lZTVps0RjBPDpQ+2ktV9K1y
Rg4LWlx/D0W9sicn/BinsdlEdQTbKk31p6LKv8kJQkcCqM2q+LHG1eaggYpYB8jefhYI98136DlY
QYSe6kMH0xb7mGivgePY6FlZf1vKa9s2UBzUIN4Lz/BfOshx5jwa12WwGkdtOKmulz4kfAIWckGE
G8SVPpGbEapxsRfc9U6vQ0WZ+iS6d+LkVxM07TmB2vdCXcCA6zrFxzzts5dBLcxlZriwyubRREzB
mo0eYM5gVjqyBmtAks8zB5D1lTjnsb0RaE4fbDlyHW/q5D3sa9iQqkAPLxF7M/USfKK4dL52LnQ8
tmQoGJDB74aIrMdQps+Grnf71imTpRxFyl88pGG5kj3N6pPntkkRuXuTxJcbx4V/T4/HHgrMkTc1
V/JLMLfkgNNYwI3HYdpcAYlkVZAX95aUbPs7zaq9u4wywV3c+u7W4LG7ICnm3dWk7x3yTRTwpjGr
tzIoZxdsLi4WhQQXex2O7Rc+a+T37Li5q+cWWIdbOM8b2DnMtOaZclzOlJf5Bn5Wn1P29OGcASMp
2C6BGwTHJHaLNwxBTpOKO5XSUMKvFARQ5nDvuPZJzUoVxgTdpGtzbAQo9yNry5Ma0aPhYVIUe8ag
WU+5zm9UK96D7KW5aaJMUSTXwWaaHaIRFEdVPWgfAiuDouwZ93HY5Ftw6Om1W+mFCRZsSM+DVu+S
dMQiN7HFvmtcDw7zvGC+GMxbkiSPtpUUCE3F8kqmq9hronXjpfG6nBM4rTuM77aRb1pDtZ6TXBQX
t0ilO87nGACQ5jSNgnGuGi89gOw9XAt7qc0PgbqgDtUZ4veoEbT5vujdY+DBsObLDaXVHs9kysoH
B93RhSTcNSAul6WeTP85EM0ryv9YoRSaucoiTQegmJeYtpsWhIkSjaCBV/zBsYZ8hcP5+I6Xd7jM
XUM7+bzUXktE9uU0LS6qg+7qf09Th1DHf7u2X23upgUCCJ2akgaZn6ZjznYITGG07IOEsuEcuw3I
lqka/rYGAfUlfutOVIX7bBaK+bM8syrvXDa9UX13sbrYpV7+PQgC1OixvcbUBy7DQgka7IVKjL4p
5+FgharPCRTUnnq3dneNaVVibYu44NMyad1R1fxm58A2wr4FNWu10eGi4DcrezLeA2Xb9jE4ehm7
DdgBdB+DreAt3oGeWKEvFaxvsVgJvHNA7rqHZuEt5ECLeuaCzNS0vc1zvCE5DMhw3v41cjAFaQ7e
xEHEo2IjXzoo0U5ulyy/zJsgtpd1Z1zwB0j3AlD31IqaSlYNaC5B6mDtqU18uQarNoovVtQM69i1
s6ULfV2jzmVGl5Bs0N5TtCfZ+2tJmqNjYWGeOy+V66+3kv0hU+7aSp/21zvpBcZZY0ONnfzDS2kl
7sHVJmVx6yIno/AiDP5pzQHxmuAbBtxAcHggq0d0O94qP3ce9FRxHnhyq+DZnIpXywSobr4IZxpX
VoJQlJWyaVqmGtuHIIBKf+1PsbVXYxu2/Txb6avxvhffhJUjStFQ3Qv00jo1vZJUJOPm5uSyywr4
z5NdB8XBauU1k3WKM5XvdKy9liK2j3L0OmUeTOWg7IeZ4QAIQBDuulgG55wtagOxZ53EkLyNFiD7
2y2ut771Lduv99HUHOQPlnFn/imyNfZtvEtHhNbDRdf4zhJskb5qI6FuhJ93T2GZlZe0tS5hJ0Cm
VDnlEaOcxBGHug4nO+BijV2XS9m1UdJ/IuG2MID9P8hQGvf6KgiUS4Vq6CIAe39Cii04IQ0Vgh69
9flwxSuX88GqDcg6hU5PtUdOvc6X47e+XFno41sJAxVKN7eUoet9Zf96i2sAHkt1SBXksjBxikHx
Wm+uXoagJ93ocRov11KvXsfh2vXUYFPVE7ugoRELlHvZOCNNuGjThKfTH/XbcRbDvarkuqQo/gxS
tCwukDoxFEfnZdkqVX7QUjc/9OP0+/L/GfOb0E/YM0/NBuLMS283/clo9f5kg6HTIBHsZe920ebB
W1e2xihkb1xionlbLweCMBiuk+VAGzavSZdVHLHVBAoFiprpkFCWxxgDaQUuBoYbh3bSvnemT8ll
sizjVJjlSS6Q0wzVPth6JcZfulANuNF6e9SH5PelqxUVEQ0NB8prE8AzqEfN2jcxDkSL//v02z2Q
pyvWZOiLQ5GiUaL14s3SWuMI3yhZxpEvYKMqytopWnRC59HJJK1ugDo960gqL2svheus1cPBgYB0
sOaLbLXOmKIpZmtZxvEi4Xpt67J9jch1auINuIjPM65jcrkcuo1f7yanOlV9ub5t6vmhJ6YPrdf1
p2Ywjb0x1OEmQhHps45/TJEafq8QxQYl1FpH2NPKfavwiRQceb57fv8Bt1VblbYPmlQY4qy56I53
o1N+OLjaoitHjlizp+alcXsgBWX1QW5DYEcn0GOZp+WaONpNGTy7RvBPnRegqthWt/m97XTscASo
2jbslefSTIMD3lgp9CW6KeTAGSv2U/bGWI8eHGFuc8Px0cbARczmrGuN0c4wUtW+0/gVDvY4ICvI
5k0/1IiPGEsZvTYzN1/76IUcw6HpLlhG4/FgDcNHRcFgOWE2Cpw1cJ6zStkhpDR+IAgJYSLr9K2c
xt591nZwXjE/+Rb5zo/Yn8jYptQum0F8Rjll5kWck69IeweLkX6EBDPOFxm8XuYltpUnu0H3zzIk
Z8i5f62Vty7HITuUCrVtqJQHKsn502Bb75bi19/GTARLzbCtS2Tj0jHYwsXqCk1EOQp06w2t9eap
twrr4BXetMQJVbsjmdqd83TW0IZH+BFNmFI76O8dW/5gbxbazHO4j6xh3/B2WskuqWR09tRivMuB
KDz6Tvgk43gY1BvE68ABJfETWtVYp3iUWYBBmEfQ/N4qMjT/W4FcWVBp333daVZthRIgdnfJHTAb
ABbzQOQ1GwCw3XuXYgkTJ1SYI/4Ji4iNJHDF6DtyZnjwmkV30romvReGoS/ynuwcZfLvHR6CHyne
LfMZ20j5z2pBVHJiFI+pFYTrmpzxu8KPCgv7PSXVcNA9HZsfHYSwnvCwNiN9OmA0rV5bg+PP6U8u
nWz5nbY3w08566/wl1lzV05JWhQwFnLibYm8+2TkJuJY7T7o8vhYd35EJqiPQev825UtxJR9kIV+
BRE4VsymWFCSzamFWndfZvpCLuzYqcsbGbHWrCaRVjD9+EyCK+ZLOx8+NNN0MY7MsAnt03op8uhX
PAm2pvMgbmTU3v2cl+fsACbnGhUwyXlQhvp/55uW8Xs+RrEvXjMG5OpTI6RGE+ZId3FRQDLdK/2P
KMz9CyIxIAjVFI3ncXRgK4x6dn8NJsFPOUXpJjwK5RTEj5iCn8BdCmZDypJRV19YvOqPDmbDiP85
mX0ahKqtIiQ5lrIr4H17m064T5UfNYe+fhdm0Ny1mTLci1Ad7q3KTZb+AHjxFusLTBXElAECnqcE
SlX4C5Yq7EpShP4sCo+2u1A60oTb1oPE64PEvwojkVaIN1NPismKR49qbqhxMplNh6DiZKDL5kvV
uvkl7VF5E4GWrb8M3EZT2yZfM0/WXHWT115+krrunKjGvZb777J3E303jWTkm+lc4zfDnP+IV8a0
GaPYO6S50Z9RFhnWfo1mn+yidjCg2jJrlstmSCVx7c7Dgt95pOSP2LmceVttNaGCiNaYjNd7yJE6
8dH9Q5l3YZbCX/CZs15lSysr+9qa/rRuo7fW/3te600TiUpZm05ExMnJbxDGesCzNH6qey97zuAj
AFQb0Prxyvy5DVwk3yHRr+WoqZccB4PgV6lNSDECYEtrezzkYyzU+1xtqjN6WvW0xrAWHw81P7dt
XII6rTTrGGcWH5Bx8v80cddKKc/IUXWOF56OEEtcPPnzxz6YvwDZND2HXmIcZC+Fj32fYQiws2Pp
DcmMXAlK1MvYTPYq58Oot+6uYNYW4BW5YuNOqnAMGqcVBTEKEFclGOSh6O0NAk9XeRyjJTkb69va
tpQPBSAxxrOflhbHW+rp7HWKHB+/EmJFWIAD9RyQmUVgW+sRv7tXO8NvYC7Fl1ZJidixjtdMlXDj
XYyv94a/bokkKT/WyN1wwxu93EiBqmYCbf1lFEp+uZGKVXItbEZMESYOO0UJvXnIq4r9ioUG0Djs
0us5foh1pP204l4ZYvhmPZ5AC4tXAxnHmmZYeTTnvu3AvAtQId2LQX3VeLbhTFSKbdkiHFJPpvrg
UdrjdNPGP3E7XKCSp3+DX52sDKtJLuin4BiYRnjP2mP/HjXi4DZ+9BOg8T+xigpG5pmvla7Pj6rQ
v4ROuylNDg6yl1LivMbHFu9kFeTd+suAXeIT4BbR220uO4v86F9h7IqOYIwRhU/NSKoHb55uqY0a
ONBy7A9pp8FGmClQyFDjopca/2sUqel6j7JOsQLB+t40eXXf9oP6HNXqKhSm8RZ6ancUqNLP7wvj
jdJbtq4Ra9vJ0cIX6EKd3GEyXpHY6tdl0Rlb0wnKtxZg8iKpcswM+olclgHoJ4/ilyrAEkk4yn2Y
i/LNsMP2UJFXXoIGsc/wVvDAVYpmBeVrOPhKG77XEyQ2NnzlYCiAXYZ2jaFR+RHnzbvOGfchLYvh
ThRhwW6IOFRj0CMxIgnQ2xFFMtVN0bTqJYB4dG2Fcyz2I/VSjKiiYBCoXv5rnhwNenP673mo6IJp
IQ2ST31mLkZE11c8DX2sCDBArRUtvJOtwY3LnZKhAf11QPOySzedZXhyOpQaw8J57Wqn38vlWkxu
6F+jCUx51vWEeF7E8wyFacQD/NlX8aqK3alFe2p9gRjJbJ0ozRaHqDn2s/Bnq+TefeMiBc8Gofyo
Q+/etk3jH09Qig2rDJIdmkCmV3vPaT4J5JbC9gzspjxM2oBvqxm7S0vFdrjQAEpE+LvuFSU17sas
VJa2ZnYfQYLz5uw3NaLwDyxZ/dS0agKwFU73HvIBcdjHSIeb6HKHdRmv4d+zo5B9s81NIMY/vTHr
z1lneTigQUhBFwEgKAqQ95DLih0V5nwf86NI7PcRv6WafYgiv0hV7ryLdiakv/cUw6eiDn5K9Zdo
zNytGYIJkVYqgs/Sskni5CRHS8w2YX70L2VtDnfzIr436RLspb0bQ2O45wggMEJXkVqcu1MWjfcF
XuOXqjOuoWEOyXjWUXlsAny+5NxKxeDICzCGme/hzveQc+Ugm4XrPXQ3D5q1UQN6gb7we2kCaP1u
nH6lRQDXLgxCtrJ+MwnOdbPx6DBQpU5G/ApqQz1ZXtmshyFHdqAztOPtImYnOwO0dHUdkX05rIV7
z+vi69xbuOozrNBTMmFFXSSPLl4lkIPSeMPfiiyaZzlveFY7Rw2TykctKqd7JU0WsicXKMLs9unk
dddYww5mG4b9uPQjB04Cbjg7y52MhZ7mCEc0eS6ufcBXKMAO6O7hB02RNuQA63Xtzx6/LaMpyu8G
OfxlQY0Rkvl8zBBlsWlcK341A/81J5X908fc2aqF90bmuV2j3WAtA4ybNpMHXE1Nbe8jtmpj4Q//
h7Lz7JGU59LwL0IiG75Wjp27J3xBkx5yBhN+/V645p16drQr7WokC9sHqrumAfucO9TDQ5KH8jmP
xXdQb/4X4P089kIzPfsaQplexRI4av0vbmp9hpwVU01CflmFDojc4y71BfiHw09uu4jXqCuQiBod
500gK3fuk2zxdOAKdVhhv2qkxpPlNeVjEsETUhOmNdVrsfjUBkCfXs3UetZbSr6iMAFQ8Ao7TZRG
wZVzdG/+D2NxWGLC6sTF6h4cF5OEezEmw3/a+yUNPAJKizwQ+Lt4O1emsTEKJA1nmcpHY2lay+kf
7Tj3oTWDJnW0xHNWajBitbS2qqbe3QbZPODGkzoXaY0kxOdBv/IaTT8sp3qbwmR6RJ44+UBi85ig
MP6sL712Ttc1X92r0yPntFZjJvWbV6Tk1mrMM+r6UGDtA/MJi/TlgkKPx0fw4m/qghr6eEAfcLVR
Z5dWJc6Bhnne7fTAzE91i+KKOrWdAgOvVqTVnTA/jgtQq5SGxWJ8inISB1hmrOLMDk5omsmmadt3
Xzfk1gjsFMgoIen0RPmlXhsiHDdN4Q3XpoRvfDtS3aWxLCxPVQhM7X/P2ktXjRVNiCtqhh2yOtcB
gbCXjsDLusfdADGB8hDOevismnlyAIDVtbGtfO33mDAdXlr1pJPwYUxNGHE2rmvpDA/QZn84+Rye
TS31nvWliRNj1dhe9CQaR2Cx7aFI4I4HNXeLarr+OA1xv7qfVI2eg592a2wSSLhPpQV+CiR887mY
BSxr9I60NjSeDEwh1XBaGNrONyITi0zyufChtV04UeuL5HyOpdc/VhDI3gphe2sKjtlBTdaFhvCg
xYpbzVJ41p/qDOn+DkuqtedaT5rJL6Vi40rDkD7Ph72KRRPQOk6WBgJn+RgnaYwVCiwNlkcty2Yr
ds4Gwn07mWnfVI/3NcC5vw9Vv3JNC2Vaz1gHkl3YvRF+ZKDu8GcQhRr44WYGW2EZ+3taDfpu5S/S
UPrvEw2tzk7l1P3r2toSouKW8TE35CXIM/OBakt7xVhtFdmu8aCGbuPLJG97uRl60Wz+nlhm+XJW
QGvzqzrVNyQnLONmrUc7gWTWWnXvEyrONNILpVBKg0vs/VNBOIONjsiPmwYAEMr+j01t1gvlIljV
eVCR3oOA1y7Jc73Ok5WaDXtod3nhvOnO9I8RIbYzVSV1Q+hFlAfiyb+o/tC31WWCAP1nRA2rpok/
6X4ZvEwIXbwh3j++WWjSUQek6JJa0xvwuHntzLN3UJNULsTOjouQXQcnFJrVnbVmRtVo6QJSqZ6L
admS0FONZMHnNVjDxClsnDx7suvcWI9OqX2thLOzOmf4FWJuUaBO8qlBzAm1hZZ9ag3x0+ixcEHd
t37Tc4RgJinytYs43X5Oa6xz3cp1L5MkswfhlOWTgZNLFaXioibuDfbc37O6qfY5tTV/Bzpo2nde
+0VFhHiR7zEH/KmjKi+RXVyufDtW830VXZJ0To/363WL9rr6IKTsSRYk4uqiNrbWBCtGPYz6R6c0
u1tTx2O2xrC53f01kXcuEFtsE/fd6LFUV6eMZiVXSNAb+7+iR+FnC0WjORgma680aoGmRwj38frv
frK0pt7w5zPVUVvFn2wof7fxW6xtmU9enc2nW1d9RldL5Ai89lyic7uJeN1CheenV5NRX+5DgYT/
/eJqfAiwVkEd8frXeMu7wTAdFhZ/fhgVD3gKrEBNHoW3eyYfPP08u27xGGfD72aGl/8Yp+Gmyh1I
K8u4MFFRiGZRbVn2xBvNt8vlbPGme2LapZ3XbMfJdt/0BtOtdGjztZo148i9Yvv4RU2iMT2+NHmN
LhehC1n2DQXeTSkp20fOSC/Xf5SeVV3V3OCj3xZ26NlaRV2tUuTMJZqXccjW1dHOiBdSy+11RCfn
adirMdWokBaBTm4VUDFVMIf4eHQdrokRTGb0n9TQvUHojV9zQGRZI3/WNaJ4TD2k9kQkX/PclTBv
x26VhaZ+UmO+F0jeya2P+TghUdTL17SaNjXYnyd1QlrZpJ0yagBqcmiHbQrsc213ufF1Min6jN23
YPQdNA8RwnbMFjcUx32EF9J/i2xYYLNn6lcbBZFHALVUF5YTwmz+RTG2fjFQvF17+vTa8Io/N0bX
n9WRO6S/j+zl6N6NdVSg86neq/EFV7nrTOenXzsBCBG7jvZsRd9UvIpQVzPcxK5WVAVo/bGx9/PC
qCrQwn7NoQCswGK4P4Gy4fksne8WztjI5SEC6/stlr/AhCgkENuZabtS2ZDUTxEawTNUxaLNj56q
kY5HxNN+x6rr/on967p/xabWhYrJQ1428jIb0e9mLAq/W9Wxjh6TmmoG+blMzXb/r7F7eIwg8EXF
jQCjj3Fnsev7z7XulzY1GeyNCnV9maJ4l07owZnw7pC00dC8ahvrigC1/BRKSCoMpxiQoqpRgdNb
FA7nAd+aoRv6vfRN8Ymn5K80WFwneVu/IxO1VlHaqHMrjnq1RqJbfBITJUzQC6zcohonzUjjj64p
6m1aoDSO1VzxHo/IIpui6bbm0p2HuWU9gbmMCmnjolpLGFHsbqG3nEd1iMTRzg6p4KuxMEbwZtUG
GnKNNfqH+1gG40Nn5QhPti7qE0ETfh53ljunn8Mgni6RDeexLfL0c4NI8pZ0oDioWZ8lMC6txkuO
JsFzvtzNy0lmn2PQBmLJBIm1NE0t7aMN9U8NJQEIrQJH8CuUCn3b1FnISoGHFmzVgZs9nFcRgjrU
kmT0oCY8NZvME3/y2VaNdzOkHU1vtT3uvhrJByqGQW84O7MrA/Asy2CxA/xpb9I8sM52N8pHE0sP
f0aXCfqe5MabfQBM+rmIyBqpIRVluW7/0JqvhppXQ10nXO5t3X/yM3flBACXDD32X0OuCg7eNg51
0PuvRe8BPLHNaG3zS24TCJ2HoIFnX89dsi1jGb5Bc3KvQTO8RZ0I39RQ2ASU6xBvbLL+LRrAq2bI
UT0GcJ60LNdOUPHix9yWCOLV6Netk1y0u1tfBUrLT3ZVGRUoBXMeHMT4UZ0TZhRmutZ+kAlcksPY
LVTm2Lm6fCEkbVwRrnDOHdBQ4DR1hjrq7aLbtGaOJsuAKfjKsLKEHbqRHQDTUMHO02wXDalz9VsK
jmnyLtp4fPfHX2x/tde4kON7E3l4okf+izsZw3vZOlSgBvGs5hyqOplViyd1Wo64dii84MirmLpH
On2Gs6afYy0Nnq15CJ4bay09CaF06QTon13SpnnVxLsbVXzPQThCkZDWeZAeivJRCzN74ncBFzM+
aC0r/BskdsHAqiM/cPmCO/fRH3vHvs1aQxTyB/DtFnAfj71k25mAf9l8zMffVYkpzMkYw4EV+2Fm
E2tpKK78RZf/nybiqpgfdGPY+IOHHCFmVu3tUPXDQWAljbsAVmMTd75euilwQkjH/R6qB/5eUiIF
LTTrimSv8xDqGqSSxXBvGPPLkJXlB67q6SFBGAdcjDehWt9TnQFY3fH+2BiWBtI/NtADcv2r6sEw
Ky/eXHzc5samexHVhI+c44qtGoNG994a/tNfsIkqfym0ur4q+ISaU6iJ21GOF7VeX2/4Cj1v0KAC
d3DXUVQSjGOX/UztAuPP5TWsJtV43wUvA7wF/ktTlAwWzGEIK+TQGlABMZobsJNtfwKo3JmAt96D
QRYveZb+q1fSsxZ4kZpbIvss+ZYNqNKUQHUwSimalRtAP/q7H5pF2az8vljDUktParoThQAbZCb7
fEhgkqVj3j77S4ZHr+R0vP0pCD/fYHE5voR5Xr3AErzmi/5l5EvnGBZ5uZmM1v5UC6RbWui5gJHQ
vWxc61y1ItxjhDTAhs5bEBNR+WbjBLDDN8M647Q1XQzPgFXMzuM9z5pk1bVV8AvpZquamk9z2VGl
AWH3ooQm0o/ZHfObKgUJM+/QeJZYqSkVNI48Z8kmzQfHDQEY9E50aOQon1jYradAFy+FH3rIjvjh
Vp/wWwtE693G8ICTTVXcOqCOSSbXbrdR8appoEkF1pDuZ0iiJ42HZdHmyLPmZFSzINIeoSF3b2m1
ONDZjn4sIhxuw2B09oFLtdxxxuYFkVu5RaQHfZ447/Gsd+KL2Q8WL61cHtt8ai9z1uX7Dh7HYcr1
IiA9q+kHd3ouuAc9gGoRatBZVyPQHDjb0mzgN3SISayG3o/PjlufnNx0H1ScanIVgsb7qnMaZ6+6
vdtGu8LyjNXcS/tshWyr1ZFqdMtmrKlhlt3m76MkkzEnZMt6qOPG2mtdqcNwzqlFBqKCvS3G+hCV
hvbI2k57RBtfu1oUrRrPDY+xzKKTUw0fDdLCJ5Cr4lE1odm3Vx3W831IT0PvEQsOMnrB/GnheZZ2
6ixyYN9Sk5fSqvOhVyHnHJKgzy7C16Mffun+TGw3/xKXhoP0X2S8N3oVYLtktIu9Yrv1+Xof+bNL
9raWPAPR6K9YAFHgz8r6a+ou7+EyC1d1jVDpgFKSFZJoyx07+pDNZG+aqvcfDMwoDnawgFrBHDwg
YRttTUvv3jW/rVf5ZPk/msghO2WnIQ+EGscx7yqNaT9UEvph0vgsa23vI/LLB8T9yudsJAVmensg
//5HVmn+Y1WmH7eYCHBSaOftWnVz6OlohxfZTnXFELrrHLbJSXXD2fhR153PI57Le6DxsjTw3nwU
CV7MsT66XeN9OOboXlwthcm9RBmzpa3rIC13mCL75iafEoBCKD5rSZ8/oHtZPMD3zG9NT32OSraH
1+d/xt2xznZyDADHmOT17aQDRhp58dGECHtosL171nHGAXgr7R89PJheVr/Q5SkxGICCO5u+sfNQ
2zwNrOgegKL1oCswR54rDE89rfwlvfiRXGD72cdJchP3pXOtKy3Fgs/CLgYz9ze3x0pDxToR/Mms
i34UDnV7buWKYi9cUaC8FCUWkfdCUjBJeLuSy5PT92ghPtdD+QtpaP6vrD5/nzUMmYOkd/bo1m0d
uy/OYmkAk/iU6oE8n2sr+z2ojuwcc/aVOuQtfy2FN+9V7x53v4zrkWcKS/5+1ay6npGYXPrev598
u7T6/JjEG9vJ1vjXz3A78X5xow6PfYCVKEue7xPllGdoptFT18pk1c569YVdkL6B6gAlbaqMz04O
lwHdaArNDRvNKNsO7ei/YEAFuCr8bgIueS7DGAe6rv33FRq4JCfTFfpnY9qqC9eTpNrYZLzRk+Qx
jQ1I1LY0302XJIzqqoqw6kYgAo/1IqR1795nVXA09e6TGffn///5eeUOuCikLxrE/LPA3+aclWOa
7lQ/xk0N+0QeWogNLYdqNAxBYbS6Xm15NLAjd+KTu4SoOBURzCbP78XAc67d6som1T7M6IE4aR08
sJ0NHuYqc9AvpKCmk/2+qDE1q5oowEppimxn6y7B94lxKhBJiRANl3H60pkmek7VDHo879OXynfS
F+RgjDVbyXKvxlQjS6pALjWVtuiude9Wp67zhn1Q+vK5QatkLd3A/IrO3Qlwe/cPrhdwz5r6m91C
D3D9JnhuO6vYd4PGtl/G9TXldbAdSSS8Zwjbr4x8mH55HoQYzrYT7Tsebi4Pbc1GFc5vH0ILHGDF
4wfH4s56ItvBjyht+4sTm1dLxt0/rovzcxlW32PbQxbY33QJyKTciXX2eNxiW97SHw7Y+RMq0QFa
onVSPKLQ5ic0cY1RoQ/25tAkRnlmVd/CbfPgvBYoaKXegJx+5FmPgPaz7VS43ovLnpPvLG0+/Mqd
VqUs469VX37hAZ3+TIru4AfaeaL0fAIyFFyk2SPzpTdfgjz1zyhKBJcahEEgclQI3QHLTNF2X5B3
+GXlmf2k6xHIsTpLVrFwuy9C8yTMOI+sC4v1T5r+WYU3DYLYfTPu7TCytmoIh+qXHG7aiz9N/UOa
hjq1Uq4skTSnGtppRx6/26jR+bka9EQ7fIB2kNTTV9cXC54mTL+lwLzwnOA9N0odNkYd/sxixJla
Uv3vFKYCRMDT6WECWHiMwUgeh6CSeGxpzpbshPuENbH71C8mrgiWgSdlSDVwsqcVQn64iS0ReRDM
x1IRDCzRfPufFMTvY3UqDV5BqFyXGpUpJ5pPpQu8v/Uwxf3rKAQP/PfYEO4Fb5xx9r+Aoj3HuBL/
EiCweLXmX0WIlFmWuuUTnCbjgC+CeyhcP3qKM9PlL3ssDzgzz+ucrPQlmtP4onVJ2a7u/YUfyYrQ
j3dBJpBp/xOYliaBXobjFYVmuYeGpp+0Ad6iX8XGm9/lziOLg0sQ2zrapu3nSJIbB49qYA7dfK1T
E6GQJZKXjIGdlyawkayNYzw1P9vliaY1nX+Vovypnm92nvjXlDkNmyrAMi1C/pHV7cgiZDvgLNmH
H8zpNm6Caa+6Em3CjSmq/Ig/V8rWDb1JzcsNVBQySsXqEJAbGzXTrA4IuTwHha8DUpoEqvfi3TZw
7JqF/RqmuvMKvyjnFwv6sxrrMNfc57LPN2pWn33vaTmhSDuxqo0e06W8MaglteVa8uv+8P230C3Q
U4BDtSraNHhJatSIoMAV0E4IhToJyhI+85/QzCyglrS2/2LrpbUfltB4CLlzjfjkBU1yVg1Y/99H
qptpcXLOgxnU4j3G0LdjbBsntk6MqxAj0H+fdgtWg/cz1FX561eWpPU6LrUANFoE31mP3rVWt66q
KcYQ43LHLcKdKXUbvGhgXTnr97SKUWNeQv2DOmm9v59s+1l9HfrPybCYAMwYT1uVPxydTtjrbuni
r8z/DFnVjZo1MyPbY07YbdVsZxisLiB17Bbdgg/QsTl+vKLb37r11Gw0jKYQjYUFkFiYsCAD5+y8
sjf2nY4CemN/y8RSrGNdc2TTgx3CMuzY9oMVZC6GP9p4EVY6rvUh97/ouQFSAIONQTPledD65DKi
zn2wGutB9aLE69tV0dnJRfWr5Qjb9xi1XfxBS/waqH1qOoo00Un1ZJCwslSHQTlgimJ2udhN+B6v
cpuUwUZNqUYD6XhtcbPdaBPK4iGyQBh+L4NqehZ9fDuaRO+t/KLv2M3wgUlR6TxgERbOmx7PZdDf
01k1EqvdajcjOnQuRQn6yzcOiCsQo8ZUjN7G9S5J6gCyDslLHsb8SS7yFW6Wu1uZG84+WlQu3F7/
6KF3P2WYzr+KyET7lGGE66qjgUDrRp1UeW65HgQlaDU7+q8zhL6PwpH9RYhqpacOJRLpmu/j6M3Q
VVDeuHfVrKKzqtnKN5h1wu/ScyQvt65bQ2kONpnLwtF2tOFa/DlSXd0sO55DXbC5Txi6AGVpuzMM
7ApA1/RyT0uoVAU2yCYai7h0LyQPla5QjZrMELpVk6pnxJTrbnzDBtWNwiyycwcv8E2f2n5rGB4K
HKD+3vD0CI7uYoimZhFXC58iszqpSdUAnd8IQ4zPVYJmTxrH/GEYQXquKJogSew91yHqUbafW1Br
eucjMaclIWw9x0EcvDvzUY2izokWLwXI2IycD2uRttFsJ0STiVOiItP3MHCb7bx0vVwiUtvieqxm
8an9jhHteE4mq7moJi2xgdiUUCEvRrh4OjXZvl567pxpe6PDUasMhqfOnsSjoiouvd6AOK6YirLF
JXh0N3qBEK5wB22D6BeK99gxXSTkcf6WhhpnreZFyc4EgXkdKe9uhiJMR3DNS2oLh3jMiheFvj5v
T9S52nfPX1YOYJw3+vhm48aOtBgpvbrOP8cSKCzyVg7+UGddgBzEiJVU4ezItTCnfAPR1oEfXx3J
Z/u/WFXeDsKh/OsAb0De5l9DZ1icAauhwGyQvEzqaojmLF20gcWpgCpwNMvhA5fXfO/5ffisGnAf
xRa6hL0Bs4NjsjuEzj52AekGf2Iaq/dPnZ5/dsi9P2elGz4H6Lo8NLG2Vhe5h45Yg6EJnz3eQ83K
eEtEUJ/vH1rrhr3Spzw9qDEVGwzLap6i0VZdTcvmEmaxDHciJhuV1XYDJryTEOrnCJ14T5wLCgC7
2RX41vEsWY/N4qgzm9+kN7m/9OCbXzYAjntAolpYl9/aesZ6j2X/m6Oj11QXPcxAVI6O7QQvtfUW
iVa/xiVWOP4rpBmxKnNk43wRXfVE6CQf6jeR98k/ut19DX1qJyPaIxsFDTc06PIIelLJW5DieQ6E
0LPltCGBZT7207TOEg1XlrEq4pPwExZSoYbZGE8uEOisn7ERTNZTGe+jpBof7CUz3IqW/T12H6qX
LOnjXo79sV44gLL00EtZxiYjarb+V4NfDxKpZW1GJAG+kiThJZUbP9j58MoP6+ApB5Bxkk487Py+
NT5QKnnKpFU8hshdrCeDhxnvgeJiJCJ9lx4UuqKrxHEc9AxYlTNuosmy+cso6I5Y9ZiZF2zVrOsB
NGiQBwOWHwdbTOPnHRoEwUkvMNOoykp/aZamSuISBiP7HpSfw41YpIRgfvAUcPW1SfnlxZpz5CcS
JHDwlmVpvnTVRIi+p1kGwdWVk/4ymrN7qjLslFREba0T6E4vBW/s9Sxle1DDqLdTwTH/Uaeoq+Tc
/rsBavXtysZy+cjxngJT5lcVUXr9eO6F++N+UljC57EEYn+RgOccxnl+As4u1yQGI276LHgujexH
jZT912FE4S6oUu3StW7Ez1l+B+kzfo09nLfsVIIjSESG9tz4TcWneOKwtpzc7YRYeZwJcR4XUXTq
tnJRMf9zKCuvPSHLs0rGFhlzFXkPtwxj3o+VeJtMgAOJwNIIW5pwA+iq22T20KGPpJyN2gbHRU2S
dyHO1CxQBn39JQN4egizXEzoKvLHiMMvKpbopU6sUELrSt3RvPpOCcWk1wMqdfXPPBXAA3y+ghW6
dwc5fCvxuvjFe3MFBcIOV35IgtPL0u+AEsbVjKTwOxUjf2O1XfgYRDXGPkEfn5zBEZeS7OhunOJd
zbv4ZC9qGmOfTRd15EWjOHkOKgP/fXzsypJlMirfK2+0zW3lAD2dEEhau6YpNr0zDNd2aXxukAmO
GodmhCBkYuJk6ZfJ1vZi850Ek7PznQbDzCWJYZfohJKvHm+zsrQ9CkPJcOsaYxTstLRrUMfOUECu
2ZFP3vACReRjTP3w6+zjO6677DRMkecfuCntbK0Pv4aYO5Nkpphey+Igl1DjJDvL/cKuGxglm86d
usBSlhVmKd7NdvJwRM/6jboA6OvPgwG9kfria+DnDg6jnn1r5OAehaNXp/uQOrKi0blWXZkf3Kb7
ep/86/Q5kfNqMFhI/TWhzgc5bl0CSXL/Px+noqg+aPuhZNFMTtU46hMOYlQTEGSd3OI5qTM8WLT6
K8/v4lk1c5UnF92dnu5DOUvl62SlR0qhIMCQf3BgaiMxsVxChUX8Hz8l5e2cW1Rtb1vHP+ndpH2K
0shd64t6iqeHxuuUWk8+jotfsS+xsStDsiutp/CjljEaWIxnkAy3/qRjvKPNw+fc+RUg6wJmfj3a
pfcFbcFuCy6hPjZ2bHzu+6fYM70vlYOHYQgvYIf2gPhStN3OMZASQ2wjPouY9HGGMNAiuJC8jWt7
kbJUzWyNGW/i3jurLoqJ+lbDpcauMhRX+R9UX2TCIm3mVUsfEPV2Bnx4/teYCgxbHPkGGcp1Nkfl
xY0bilxL4+R+2K1UX82oQWjiyGmhbAvLhhg1oZrAs7dWiJXQPVYd3a8HJekozRy/zOVMNX77CBVn
+t1wlu3DbYjcO9tZW7PQKDf5lYxJ//eHqSuA84vwyolrzCX4T1NXUXGllPkmGrJha4wJDKja/WY5
nfU+lU6ueqoWpnpw37/x9LDeqSwVx8qt1xRU4nNsBNG5h191Vl3ViDZRyWami1LIzYIKOOuD+Ul6
Ne6GFbS1JhiLXeTn8B8W3po+OeYZq5hPCth2w7j9C+6m21m/68tFeU/B3+4QNxlCWRmb+ZCU83jh
4YJR1qRX46V2Y31FjRn7yWVGjbnCGy+qW0x+1uMBSD/PZmeHdc8/akI16lr37hwHzWnAaPu9nLKP
Ahj+j1oK5Hmj8Vdi6vs0nvBn6uWwjif+rcIOi1qBCqeW7CcwhjhnoijOnUEpRSTBbrZy+9kqNcol
bK6f07lKnmNe+pPtPN1HiirfV0ZjX4EMdOHaE8ankueTMl1ZG7lPStuDOoiyp/loaV5zaDRPP0ZJ
Fz6QRc+3cVyW7zo1iFVVYHqX2vg2aMEmjqDeca8m2MtgZBR3Wv8RjhrPuIw85Ti08sMt4LfIoBUb
NZuGibsN8FLfqe4QzsGaDa23MiKn4A3v4eIwz9lZ1zMsYZaj/3VMTTjLGeoIN451ya7n+L+eqsJK
o042Id/9ISn0bAPFytgrdEPeJtkJnQl0mRbEg+N05WsuqIC46Skx0PA2tHPn29yBY+yeAD3HP9y0
odSEMt5nxzCStTnbABAnNDCncYSSAFZnZerNS8h/z5r66IBE8+JTFtRk2hJMHw+yA3U9Lo3R+jGl
sSZD8kzvML1kW5uTo7nYnj89syyfWSYWWyxa7IehlvU+1jRzHQazQ7e9kAyZXwddTK9ej+SKPgr3
rLoB6p17NwywMVhmAy3Yo2rdo7VgJQ9JZQCV6HwEbGnqQSTHiaLlyvI6fh07qettlqN150Wx/6wC
zUXDNrcacVCnqIk4LU9V69tX1cMZgXIDIgyqh858fjWcCuRc1pzmpMvOKCc3VB7D4TqM3gTeoopx
A+3jLRs47yVDHAUJ1Dp4T8cQcTYrLb94Q/dLIzfyXTb6lVTu9A9lGvCdnhOT+9naSYhuq5jhhGR+
8mvUhtepApHmpBnCZlGjfRqX/515nIa1adrascfS+AIj9sGR6AuoZh7APOS+3Oiizm5DXov+vw92
4D8DKrAtLXxnOw9JBsbJw6VgPYxLYiFprwLUeOLb3xARY8FgdkgIwohbwEhrMYj5awjJZ9tY5fJd
d+2nYRwgeDHuxi2uoXFTHdE2jj9ZebUFqyivfa/3Z9Lui0dN+I+HKBCWaNU32zKatYPIHze/8PfB
UOrHzuz5wfKx3QxhXH5m5/5SFUP4jxy9jQlB41iW07SXBaQ5jzLeWXYz9QLHLtaNW6UsXeiahY3O
TztHR9VN2bli5qeHB50s7HtuUVPD8TTeq64cjXJbsPt4MX032rgYL+3HLLdfRr4GABJr1ZmXkdlP
5l01/wy8lMfmGGDuuiCQqaZ5pKvIVLWBX1GLIqu74red5UoFJUsk2DZwnC4ChmrM9v202ZieN6BL
2uIn7CKnEgcFX99yK6k7pgC3u3Zjt9nf7qcSbMKKXHNx/H1/CfE5T/kO1CnqPvRS89jFMBd4gHGX
4s6CH6rIntT1zLmqnkTz/X471rajb1yZsUArrEdt8jF3KuTRNuBwpppnPqrxZnLjfajDju+WsNvY
clT1zby2ssDf/nUGmy9Uq7GjCrY+9OqL0PEu9kLYVn8aLKVWsxvGj6oOoMbdlN2nQG/pyKau1HhZ
lcEGGGWwUdOqhgAmBA90zcASUMUADwkfBXfZoIFHHopBW5sOlqQLKgWbSbSg6YGysN6LsPhX78+c
684swb/3eY5ZSTSGsBTg8m0tDa576ovqMQmkdsLxwFvLbJg+u55o2H/y/l50Ez4hwRfjU/1ZRTVL
1PjfowajcD/p9V6dbNrseM2fUxBrl76VwaXAqnADPNRcq66a8ClFgTXJnOCCvzox9dDsbNxrcIic
2MaoyFgd3ubt2D/YA/YNyxXVeXWc4QdQZfYWxiNGuE3S7zI7yb52PX72OI1/oIzCQwQK6VaNZ1EJ
V9BO3tzWCM69GfvrPBizr6GofpZBJlGC85OHvkjJCqjxZmTnloEfGQ1LPiVFna0yM7vA4h1OGCeP
kOlp5lIi6o4CVOwU0+8hu0bXH0TiVkUgNLMrF6WcvMLJs2jdCZQG6vNJ7BcPwNTaV61qw30aoLep
uqOw41dQF1hGEOpoU8KCGkSMmuwE+8Egdp5VL4619lWXWYZ0JZrBaizHRYFlJhjLTH1WbrPw7pEh
znuI2p6Je2RoJuCGvGpazahBlGvHz7+Uftddelki2TIWH4oZPRWQf2KRPiiKNFbc+dOUtME2E76z
7nUN4QAV5/T4yC1xqqeC73FqTHGv26hyHhBTxBSNQplIXxPUAd4CibFZB/7y3IILeEOspNkVVPq3
qjt6tb5wAn6p3u2Ejp2GTF+9oShuZ4ey/n12m+sNSxa7RPiVa3sFJu3L2YbXQy3nc7OiyF4nTTqb
MRrg59R+dkitmF2ADUEpcLQiAJGyHoFbPKkhf8bKlP8u6LBVoO9VN+Nnfmp9fHlKMcudXU3tee5E
e3Z6DVF51UdMeIKJuYyqPqYu4K3Y/27vY7CM7E1imS9GWpeYnNLUbdIfm6x+8VIn0fd/umpShZkS
EFrphcMmXXRKnMoPzuMiYOKEo9zUIXbPf02o7l9jTY0HtMbWeAPrytliXRs9aTL9faTGtKSMntQR
VUCqghDE/89xFLD9+ikuTbHzowDGotc2+rpKfLFzFsaiatSYl2QTbFTTftSjcniedB0Zdp5l/uhJ
1fsvzs5ryW0lW9Ov0tHXgxiYhDsxZy7ofVmVVLpBSCpteO/x9PMhKYlSdZ/eEXOhDKQBSBVJYOVa
v5F7E9lzfR0cM3e9Xyud2nUugYubjF7o+VPfa9XGFoa1stMyf0pqEKMUPOScOi9ATrVfmYopNnIB
Rm/VnUpi24IVfZf24aOB38CWaof1RIUtX3Rear1NNiD9Uk+/ulU+LYsMrGcYt/Zerg3Mwn4C747u
nZ3Yb23iLpx5rW9ROZVrqSnFS63Mo4UI7fqjGpQbu+qNp2Ly/EevF6eky5uP1Ll01MuUCdRxem/p
Sr+P2xZZJRPr0sBL1rInGwV670O9M00zfriNptjRtkY94UvLabJJzfGuCZvkdFuaUFBdIGiiXK8e
zmtzFdfBKQBkcDu1SWNvWWHgurmN2aEnFjinQoypxZ1tCCql3lwkNeWhO1dIZWP3Wbcr1OBOoxZX
b8gUDg2Kgm03isM4xt4mLxzv0QhzsciQwv1GyvmKRLRL7zOWCcZLWo7BOgVyuct6sVNLpzp1eIs1
i8FoZzG1OWtgjj8HGzkVNyJca7MVqOeZ0a7t8IfVVBzTq2raEvugkgQvfxllkXmeQl9cqLxgjTRP
YBx9Ssy8eJlivDE1gny8nBtng2Pf+Nnql6llBF9K+DQbA6LbDhcyZNbSmNtUGn6xNJSRMoBwh25S
yF378VNpNvCXarNZqUk7Vi8JlFLkWSmEDp2lrKuqEptJh+xfkRX5rE/ZJoHE8mLY5bSX49GUYZJR
Ti99Y81a0cDiAnM8AGnTQI5p8WdNpfLrVinKMLgieXkzLKP54ed6BvSKwRq40Y3KpTcUfKDmE6YE
9RTqtGwBa35mfaB8k+N1A27PQmLomIZ59hxaxrksXOeImh3Wc0P9mXqY9aX/eUAu/zry6+D/fw1v
qwCtP+FvVITU/IcWFwl++SVqGY1If+vd5uaVck7eB/7TeRUrK2FTSLOAdODtUq16u3A/WGYIuU0R
+de8yAFwTmkApfE0mob3VzVWTxPv4bPnpyRh/ao5a+yBl9XQb9iDjKcmmpBUjPM2uguNlZH3413a
JT8a3NZA2eIdeV0lJxIX+72mfnEASrmEZ7BgSrs4tpSVjq1XQOXEUrk8mnprIGo7T8l5vHlTaDPz
1Fjp3a4O4911+e3022p5NTmhpJN5CAG/o4I6Cyh0wC8Jp2Q3D1s4WPNEPGrO3vCdZ9CnKejYn+OK
ITSyeQrcLlbdxmUXQIKNVslFdm6NidaNGlJjvA3Jo9zz3/qi8QC9cK1b4/J5Y+EHWzQ0lYfbuHw1
I0EQEUakeX0H1wvNb6/DRnVTq3mxlGNTVbqEw5Gf7zDHTa7/v9tqTelPnoqesOChew5jTzmgUMG2
xgjcp25UoB3V+fTd8MX0Pc+cGoN5zXlCK1rduJFqbJLRSkgdO/hgsi28afHIIxgTw1nq8ag5Ooit
9mOFnFQac9qEOVoQrZToIV65XiSzEeXFoBWVn1/neqP781wp8nO7/Hxl5zYrz2ojd+vPNuRjCkPM
MYJ8J1R1WhR1YlEuJEeGTjcGckqp36vzEtk0lvgYkNw73IbiYphWLQonazkmTxijPqTChpS9GZM8
mm0tNrk2dM1FVVRzxSYIl0/D90hGg29YyMOx0ZttHyI5Ti0IK5OyU3eDH6LRZHbFo5MDj+xVUSyT
UHhbuUROICMARBSNbzkUdANyymP7vW/7bkl9BgUoA7xIC6mA/KJ371uNd99PwAXFZI57tE8Ehus+
e6AGgT28Cud+4+bGpgWxtJTL89mPPcJu4OCnztfbZVLqz5cmgYJOKWLvGbPDJhqeClxXZWY//XjJ
vHeHU+Tl+yJy9FOK6AugtZhnlDyUgzHScVSNbLGI52k5gZJPX6xua2wIfNifOjXitOiRKGR2bxe8
nXYbC23/OOpVur9dQx7d1squR17nmM4I6Pmlb6fflt3GLLJM2zK2325rnQDqUBITJVpp2Z1VJOj3
eUWVZ+6FOijdlTxE1s85ZjwO30/I/ujtSv6apxQG43Bdcj2s3XLT48R7vZ6Wqt3ZbAWSmPI00+gh
DycrkeLNCDqsO8th2ci1ciwdmgjvaDzH3k3cul4ApdNrcm19u8pvLxaoNsZWcYSBwfwObmvMBpbA
gppXuFZaexcNIZqeblE8Ck0rHlM7j5Yuugm7yB7jhL1Syfue1Hu5xJmhK4bjkexNvPx6BmjllM2c
Eu6wZYweZYP0u+k6+oPs1MAcDqkS/DUAhL/ON9Sh1oXTA/3J71XDpi78S5nuJkfX2dRFCRnRvbvK
1cnDW/Pb4G9Lh/lK7y73b69x1c2TryEP/TL5+XJSCM+wsldKo/xWR/X+OinXxaTbKIrPb+t6Xdm/
vaKvJtGu8ooHEVLQUSP4FlCI2peJQKaeo5134xhMbJJZF+vdeJiZ78eDWHTbpMlt/uANCCDk8bZF
pXzy64jeryZAUrRd9F0egLTilsnkJGYXUHCxfT6LuBby9HlCXuh6glyIFPsSy8ZmO4jiedIeHBsm
vYv05nME8wI1fCU8KHPX7fRpmwwgRcLWD5/FpMPETOqjnDSm9nulht0Jk5ZLlsGuksM6nLUVlV1s
CeZzLLLgsOmo/8nZbhrVpylYFiDf6yX0wxrFLFBCcrIkLmOb6cMImF9daycVXlf/AotlbFadryXn
ukKvs9KDZiXiiq7jJWe71OMN/4dpXengrLrOEghy6HW0NEqrBwlfZ/trP1FQMECcC1ozisgm1Zr7
UTxe50QUW8dC5C+xjnKzbrN3MNHGqkJtZlXH7nOVB8WlmdqXa2+MtUfHi5eq3bvP4YRkvdeWOW48
iJOkoOyWWRCEGEWgXdJ3o3GoR/iveG6geghcF7Xg3npA39R8Qj3GXAJDDXfyXLnYb1PSQ3LxgFKJ
XCwvdVtMNu7cYkZ0cVtEz4QTQbLwR3FnomG5jNgSfNOWdaWEb+wCKoTbNPdOb0Rz0FFp2bh4g29s
z9dWbajYR6XOHcS7OAJUEvBz7JlFajm4TnuBB7RgqIGs21getLCi14HI5jyan9/JRk4UM6fPM0m3
B2O2F76DUWMMPXEYtW2ijmgSRX7j7OMk/Za2Tg+XSYyfhkkdtrFlAMUoQDAYpaeX28pqtLNmq/UC
l1xt09goKq2qvLRw+1L5Gcx4VEpBFdqbbnDFo07kF7eCz3QpZ0d4Xg+FGGaitXXK2QAtWvYnqx5b
gCMM1uIpBFiGqPn4mRrhglK6gn5a14WbUVHylVdUwVMnvcGbaFU6U3cvh/CdF6uiwTC1c3rvLvXR
09XHKv1WaO0qHiLr1dT9hiKsC2AmKz9JX2WnDqpLo7lr2VOwN+u6D3aD17M/ixsOc6yFClUyLuRh
mpVoUSnjW41fB8K4bJlqdVwlNV4ocesKakVaujc96MdRmcLgAsnzodfDBI5S5b6N/Fd9gzg/o56g
mWNDPbkbl5oT1w9ZEOZbzFY8kPwTtMAsjzZJo8TbQh1e2Rwj+DQ3JrB5fGvmQ0Rqo2MZte3c9zyQ
QeF1QpOrExOxg7SgBhjNIe/g5vqG2KlajgYOhNfBsdh1viAPjb67u1CnyF32usp+yMSwYpgyBX0/
5BPj/j5oh/gpdRFP5JZN5jTW/KMeDelz5LakyxB8WzdSaTGK1FPvV9/lZO67L00UFCdIE5/hDo1X
+Skqxt79OL5I4SltFqQSQOD2fcK3SnblRKlH+soDgDPLNaBZJZt83KAGpKAwQT5lAfRlvNjwy+GY
G+0Srvs4c+lHNP3yUl/ESfx5zFtrp7ZWYq2yQU1OkwX3aV4iVP0NlcVmJ3u2RUIU1t2/XEnOytdR
1OCzDTL9x9X0sEpOvWlcryaXdVmH2EORJdui75JNX0QR+ile+9Tib3Wfu8pS9oa2RJOh8eCg46++
1ye9e2p92zzESlMt0m6alc19+zCUrX8nF0c6ILjC8HHbdSMMZ3vjufRUfORrFJWPCPPh2CFlueau
6dnP15yXnH23eO6i2pvsymkqFqDU56TGnMr4LZ+BROVKI1d8gAtTnWT2w8etEt/cceYOWhQOu7R5
TNCS5eaZ1GsrMdwvKNfNvF4sPXNwFtQ+VW1MH90GTlKMnetrG2Jm6jmfG9MyXnxXDdal541oVuji
IFzT3ahYRcFf84xFhfHpN+pIC6lI53bK59wEGWnJW4Gh9j38es89JdBXF5J+JLsw8FFPmdH5suv9
6opYvbuem8eAxoco7pa1Eoptm9pYg2FDtxiCwr2X5mBqrwCoDXRIh0i76ktkCaM7dKWC+9Etv8Pb
oD4RKRG5GXDvspuGJbf6ONoqWSvQ3gxbHNop5y+dSFWv3gDAQ350DUSjnxH8PpJidSGeXNrZbbyf
G3nkZwLcOYZppvMh0FW/3YcmD+ZCNxNkhqz2IPGrao/SnezqiCh9kN0Q8YaD+mc3c9EYsCDSLKSl
SKk08dIvi3yv4DpH2hDVqMKEgi9njVm5t955mlD5PrYq9wynW0o88g23zIZHw1ncfwZhg8hrOwXg
wihl9Wnw1KqVfXQoFz3I9CoYX57gKppe85AcdzznOiQXJDP7eF4lT7x+Zw0IaKgvqJ9HY7SXlpNH
l6AqMGiaGtRkhKi+WuXWQJpvXakuDKclwOBkFVhgFhxLW0p/GGkAI4/gGMM+nhA1eDcBFv8vFbWd
/W0cPKm/6qIEJyYbaSO2HhQsfIHKJUd+UO8GfA7Ot/HcLZJlYKfo5M0rrs1Qo6zhtVSG4tk1KhC5
d5ovV9SiXnt19LXBdoi6t3KRH5wJxvjW8ycrvg/wAJKoZDn3q/fneZNbxXuPO/kic/tkWYNXXvHc
xtv6xj2/UdQbc3wgMjO3QyXmTaevuj1JzeYgdWuHCtetrstg1wj1MSbXtGZ3VGBz5mDXiOrKNgfR
eidndcVCAGgSPSDEeXbEaBUNhozt5XyyZiFKUajK+rrYqIkS6qraSkvEdnZQdCpkk4Zx/Kuee3L8
1tzG9LR6yoCg7eTkbdyrq3Fh2tpI1TlYZ/5oPFL3sD60uNEm6VQ/yZ4DXN/LiVNlz5jIVjTGtYMi
tNVSvh67afiAxJ9ckZvNeBcq4mCihgqLEVFBK9ZAj89No3s/jv7dWDggsCSqClL73y+WSzpT/6Sz
xdteTzBt6xDhZSyEosFVInJBTrraA0XGRCEP0kfHTrFDbcfkzQCVZaZUoijDUE9FKV/rSeQ6Gpo+
oY23fB6LBj8PN3zFV/SU1Xr53RD6xeqy4VOMmcDKtTvvrKemcoiNhJRiKKj8h29pkqnsLRr9xaoR
bWv8Nn92kY5a4T+vPAQJ5BOCGIsysj1szCC08BYynW3qUcfs+ZD3oZLmh7hw/SM66tqOkNc6dZqH
V2grFqnWqg98TU996BYXGauled7skHLB0iQ+Wln5UkdW9nEaS3+tEBKRorLjox6k/QavqugZEcRq
UaX99D34HCC18T3lobqYilDdwhxOl31XTndAQ14FKqAf80rPDhkJ1yWO58rLOCGCmfDaGzkb1Nkr
KP7N7ND1jIME6OFO95+LoMbvI6mjpyoeuxVPyOyxMltCuD6vHloHyZqyiSANlB4FX7XU7vyhhtmm
efaliz1jowVKeAEVkG/1US8RnMqtrZsn06kDGLQssTRwM6/4ZAf5OiSZ89xUmnHxRZlDh2G8SBp3
jdkb6Hs2pESw1V0EXelInvBVK2rMDmCtZmsAVShkohT8KJsizz96luKf3JiEgIEm4d2Mm7JMByoL
XLt1m1NT3taZqe96W3uopyE7R6RHzqmNZcMicjNt+c9//O//+3++Df/lf8/v8wR6YfaPjBJQjrZq
/d//FJrzz38U1/H923//03JN1aZgYzmabZmGYWoq89++PCLhxnLtf4FbH92cXdfKtJ0S0fgEk/HW
NlZWMY4XNQkJzBrDGdmT6vuuav1jQVxxkbND6CjLFu8aMhN6vFD43x7GOW+BPzssWf5WqAs8yBEl
xysIG4W/5JQcYr/SsL3s4vXtnHfX8QFGHxt//BTow1Ogk/+0gD1esNqDoj8316O6uU7exuUy7kP4
Gdu5dZBP7gKx03Ws2Bgga7HP/gj3PW2GVQslnTWmzGrLw94+G/NYX5otSNsmSvZjEjy2ceggKvbn
LCWmH+cVErB9WzTO52kZCZz5lOt4CaS0tKcJM7mmbOLNtfbLDe1HwVeb4q3wJvjLcsih8DOAYV+o
jV49d+4A2wCbxJUCH/M5VVC508LqTU7Khj1w4iTPlVJUz5Qk/IWnIp0kp/o6c1ddiy/3tZtGxt43
N72w8VxNM+5OY2+MlzbUzXWqFXiqR814kY2cGGEjXVrbfEvR9N7JcR4sFXKCKcRApIZ2QRXrG9OP
/FdcU1CDnePKpkxA7/TGSWlT0O0qch99OK1njiyuY16ySpDVPBmqjhj67P0+uYSxY9wk26RQNyWF
5POgpxAwh/G7OYt5Tt007UA5mWxlxaMfiOpb9vPAqfTryHyQoFT97dfIH2u0qPqmx7G1Qc03Po2J
F4Net4Z6IfuibFAqxxfU3WR6+iVMy2Lc8MP7YumC6DMsg7OwFW0hFVRazI025GzTrZRbAeaVgHAv
x4tptsZLIE7jLLvS5H5wboYIi3jbdbYd+aQV6L7hvqAA7yrGnSshBEVX+UsT3M82oEJyn4FNrdjL
tvN3PGnJxZgIqi+lqYA9/wLMuZFH6NPoqxI5hSWGm3gNyUG5UM5gVeAtQYn2CVSCTHtNrIpq9xBg
xZyUysfI/y6HbVFSAo2hWQc9q8gDHxRKbc/IRpydkDd2dlpXYcNb1YumUPDjHF3jMVWFfVa74TyO
7EGIn7tkZWqxuymh7j464zQ8Ok8GlofZUq11bZMqaYXOuLrMYZ4EufEpFnn4mmFwvUSmKn0aS2Nc
60odo+XhGrspSNx9aLsk1TOtQ8Sq7R8iDTdHNFbirab4ptjBGdaXdVsgbG5/mzLd+EBBY8Agon6W
o7ET+pC6bG+p5fW4mUxXUChGP3BIgCfIqqDs9koEL3suJ8bzrDn5XyCJo4Y0O/o6ScfNAAgl9wVY
zxsLoe9rVw3wVQZL9FwnYbZKNLe7h2pWbCejq45EVw2SgUW+hdo63vtmlK4svTFe2r6PyUZzh6+q
CIXUEMBVnKGXW+Jy/FDPDU+5aQEYGP9Rr+vBA9umugCFnF/kvSwmHtrGlXVvGW+2N36cmkKcxcwI
rCPFW7Y+zAVJ/3MmvFS9jnyanB1AyEKyyL9SFNgNgO3PXeSk92OcZfeoVW16ExNtuP7DFl3ydAt1
tb4DwTet9Y7SqOm02jXV1ufisTb49GXiDWy1uUaMblrLxNuUeemldHA3m3N2cigryrvG7kUM7drB
EU7Nq7NsFCoww6IHvHqGSgQixgT3NffkrB6nzMr+qKbfPMPq0OoMo7NsbDC6QKDKr+lYKUdERiOU
zWhS1YAJK/vE8+HBR5xDKzSMiwXAXtTc15Fmlt86UqAL1N9QBJ0QyIFYEx9l03duzLacx/Z1UPZv
07c1NnC0vG8Peq9j3o2j6/+4Mug9ND3V7tX1yUKJrCNQj5LnIm3ghCO+X6ZCewnxoLwAAP0qe6VO
rlPziFdJyy5MwKEn5DOeefv6FpwdxoZ+NBQnOWGYsJpWBk7rVNhq+2iKOF46qTWsR5P6KN8U09uD
Lz4lvQGOGRXdT38TRsxRwh9RhC7gXIEEdSzVsm0ZZfweRcQC5zZbddZlUbirvI8MdSnKIV+Bn8Bp
92fGnS3rePKt6t7La1hFc05dDslG5tlvXTnbTIG5cPuowOhA7KvSv6/9AvK4Ej71s6JnVtQvCaYe
KPZU1nOexuEyd6oIdCJd9v0ZtpgIFsq1imlQFtfRKpSzijqjqSNi1Xa+0kSi+j//Uf4lsuJvIhxV
1QDyc5ez7D8jqzQq61HvdCwO7bBZTX1DDrxtThAxE2DUp8pzzEOZkfn+zy+rqca/+TB+f+H5jf32
YdxeuNYS37L3ICqfY4quK53weyud+ToloZinOk+QODyKGLn/VrC/PknbPdin8U7EQl0Okdo9ybF+
wr2x1R9lJ0MpaOWQjuFWjI5/KPIvefyxx4npNStBEdcDFS6bNN7HsnNWAirGl8FAIosA1jvEPQqd
hAIf5Tj+jcnSZQN7Cdu6vqt6kPpg45uN1sFRNKvRuHdw2Oy1McSLXmhnkU57dzBwCZkb6OTuwTWa
r3kUaT+GWquH3qmgHKiB5iSyBkOOIhnJuPmMrB7bda2G4uo1NGKicxpBJgXjEIGihDXI3SFcpcAX
s0M1+fY2yPUPHQbmJzQWUdcOtO1scgnCiKFbM/aiOoVF0TYLdT6cF6si17bvlsiuIUxsN7rcWsvv
eyvrTPIw7pdODKFH/mbkiPwdeFMb7hU00zauXY53sgkyNPtSW8FSlMTqXVmXb3/zTdKsf/km8Yt2
XFtVDcNwbUf/85uktSYyjS0EmdHBfU/za6KMNDpoLgHvvquHZEcQ/1krcamocJle+zNT35gGa6Hn
k3vy/dH56N7hCh19Kv1ePeGU7S3cmfQfD2jE1LXy2XHwwu1F16M8qoV3phDmobD15gBrzNmHcyiK
XFV27hVoAXNvmoNVeSQbYbjU9Su8fvx5Nhr0CFnJQNugVURgVyMnujerfHvt+i6KeiTwXyZYrRfB
NSHHdbw0j4aLEtzBe7TEzgtPPeivg3wuyidkoxvTruzh3TpY0ewDPWmPySRkFuvTOObac5Co05Pf
kiinIxsnTM94pYx3sHcRMUGjZlHGME6CMdS3+jDECzGAidBzwwWXgY0bOwVDOTe5EW9UF8RKin86
FbafE4XteZssK+CMz6ZZV5esNIAtzy1CW8tBYeU8MaATwGFElXbpwTS/2Hbe7sLa/OY20XCx54Yw
j5i0yDJIeZSaV3JQLr6eIdcU46zCVhzk0O3cyDTGY+kYm9t6q3C4HFBxGwfMNlmGxfo/fxWF+e6b
aFuC8p0rdNcwbPzE330ThY1th2HbAeqKSrRslfCVcicb1qkOdOxE0XzfT52WrQoVNxYtTL+KvtVe
41TTkP3P690EyOOk14p+EXOjKthh8w0YXBXJ9nlEHllJX62Nsp7IU/5cKidk00/qGkzqsHNqADd9
jgQdmkJHFOyCJxddAZhNCIgFQg2eDCt8ylIMN5WeHw3ajv0HeRT+Osocq7uOkZpY/Oe/li3+5a/l
urpj6ypECw2jzHd/rQaeojWabbHRdcMpm1WTvt7yi7ecY8z9bRdnzYscKvoYQRl5aOrQltpwodRJ
jjoLzVBEiPUXab+6jTmkwa+zcizpAXgPefYZV0OEvGfOnt715YPbi6Vk8ElWX9KCGMqQ0TnKsb7W
0aNpR38lu6IxuNnAml/6bota6K9G4Z5QLmTfiAXOVzm6RL4GFlw1hvqMZhNg4GH4K4d9CdW4Lcpj
Xvs/mtiH57H4n/tWfu6MKV7kbTF+xniBx4Fj1Fu2ndOiQtYduliULDp5p0i1qN455JbZNfeDSQQZ
RKv//PE57x/gCIFououMh3BMXQMa++dtVxRmix8NCSHL7R8cVby5cG2vz2bVgyNczsj865PbqsH0
RNOjfKprJRL4QIwRwpwf3FitDGcjK3485DVXe/PQCzrJtX0s0h0qMz8vVETXC8kzke8v0XcIuZCB
x2CaDObWsT193zoaljOzmKtsBjtol7WrmFtKEs11LFfeYHNlC3XGek0tmAcyTzVFA5RCwzH7q+ii
+CiHotFH0WCMNnKuB/WSlIY6HhUl9DH2Kam6OMMHuR/KzLp6CDB++ndDGavk1kmuEug27frxTRZ7
fCc8+0JVHs0UXXO9zX3S6cr4iSwx/q3piH8hiGQJQ5ZHCF2h6jRDk7syzFepZ47LXtPDvwkNNUN7
9wt1VB0dAs00+acK833AXOY2lJZE9za28pl70C765fUujyqo1ja6gefbeFWp2O6OarSVpvFDx/7E
rWoHd4o+eKh6/UlmHHRHnbVXFWvVzwkIL4SQZAuLuCt1ur2FZeg6Dni8pnPjkPfk293qBo41FXr1
Q8L/fUkk2G3MGu2pjWUCo0srrz2osYN07WxuJht/Ct6m1rCPsmeoWntAWwKomPdwfaTaejhs805B
5Ej+cGS/UOx+McgfTp+wm/HwHW4ztz2pigVjumarc3u0U8pU106jYgspDOrHochInsltpGMn2h6b
KO0QFJW5kmb0aW4du3AIPshxRyQ/xm3kR/pae/KuDm61oqAUFbrHbKisRR2HmOql/p1sHOAqFxxv
/TsbmQKj9yBvz0NyUo5jDh0tA97JBsslSFZy0Ii7alsX3IzkQq1zmOmQFjpHJLbmqxdqCAONR/f1
ptHZ7grA9Zx2n6OPuYuijH1STV3Z+XH3UfoRyibGd6Va3PqdZ2nbcDKhxOCt2TtYA9n9pB3FEBsl
BHkOf+sXY9weQeXFtmdcXBOesa0U0c7EhdReZUrUEMqUf/P0Md9vBl2DveB8AwO3RtQo53/bf7Re
UPk4PKHBrZflvfy2jsrwYnaRe7h9nxufTYTZmur6t7Eeq4hcSQ4NSI2VXUG4tIynpi/Tb45dP/Yj
/uw8IoAl/boF8UKnvCYSk3cgCxTEwk3d5FDnQ/ncZd/tJHQ+pJ5VPeUNv+Wocz5gHNY8ZsDr5Zxi
Nv1DlaV72QtVClDtSptMcbBKdLlHFIZBT82HnhAIF+t+uh7UgbBLDorqb/Zv7vu7P38+oemYsqoa
jwAO/rz7D6VRBQBBXbBG7t5O/WlrJ2m28AOlu4RzM5BJuGhN0aMuGBpLn1hunXiOY2yrPEK+Jdf2
csloDY9eNZHtRf7oYmstUlo4GUNE0i/23Mhx2bipjrDZlFhEwqz9McYSdGU8tDmOCf51Ojij+ULz
qak7eSsrnNylvNxtQnYz9CS1cvBPcpxnxo/XKmtuX+BJSM949StCxc7SJROwV7DXexrt+msxBN1X
lYjOKbcYfMStUpw0OxQnNvrwrsGSWMXKSH2x0V0nAHk8j/KGEmcjlxWkuLlFNP36mw1J+s7D0e8O
Hpl2Z+vQSROlQpAftDxSyarG/bMPy92139WIX07oB43wwRYZQKWtjPwd1yrgzbNfKyaVAKcNocbp
SEE6DV9nuUQ2PvuVJX8UHO3UBnmUKn76m6hgzhfccizswSxdM1zVFLpqCWpL774XnqOO4TA06qrC
gsDb8CTICYgwQrQSTOvcAv86eTjEUAB49reQo7O1OoTlq+JPxpZcZbuRXd+iaAed76mZeuus4BlS
UpLGT0V3t64p8qMkUZGqw6Jm7srEqFv51kLOWmLA7yHo+YyBv41svOq16PXgeO1Wc+5e+m/1TXLX
aS04GN12xN1kj88RlJY3gy9UMKrmp8JtzNWEW7CRNslhaHoIFWXwXJBxXqkNdqrZL8POLnEObZQj
SDhi61nHqsB10STixyTFwDMLzDTpZBUJEvZZeajrl6abwnvXI1dbzUhSpFXZgM0TiEmH99pU1MS4
/Qq9Y/+s6xP7BpCJ2bbzsu56vxRWisVHoyK2UufQ6nOg7DOzdRBmuO57ND0lszWHkGNh/vfcYD96
ie24W+RWo/xNUKirf26B5s/fsdn8aI7tanz69ru0TuOFEPAT4qnBsu7todC2ukqOpJhlMBMRB6c6
0rOFqG3tGffD/sG32rWcbHCCfu56dAaMccTJAGVwreR7fbD8oTwnddEsqiD070ISt4+Noz7LL0ls
a8badX10M9xMbPBnQUMk9KFj4SS8LNUGw3j8asUpQANAw7sHt10ZxJTDluLZeEz7eI00HWrEU7lP
EFn6hgwpPtrQip+qwKx2rm8Fu7iI9Sfy7eBIJrSc0rA4GnoYfkKzwkCCs06PuUGqYC5hWofRQmF1
GpPMpCaA+F7YlPu0712C+zJGywOlBZQbbO2CYQJxBw6qr4SBCtXYFE74hIVh5/Cuk6T8hM/5TThV
ZPg8uIgvr+RYxs5yZWaFvaXIMKzZmA7kMhwKt4brrHOEQj5UjQtHy03V703wRSkK51uqe1gKAsKE
pefVW8CdwUHpOvPiIgyHzITnv/aDde5zY/rumhbIIK5fW6GxLlJcaQ3SkmVVY7dJsL34OVTIXjVP
tAJPW1a9s492YRUvfYdy6Ae1HA6qgptZR87+IINqrEWau9Fo1jLgLoO2fgz8fhmINl2WAGuPoVMG
L2w2NnGf2K8pFM+N01QWpEa6mf6K/kbxKcvdYV8gtbQO52HXiR+mss2farSUqhi3UMIL4JuYgrzW
hFbLFvYzCpK58cRt+2wgLfPqelm8ATmPwFGq9q+Vg7sSnnwfRxWhJNeiUqvNy4oGuFrLb/YejHR5
34VpuIgDr8S7C0ZO6oACA/7gX6VSpwpqKLH1UuqoFogaBT+UGh2QaLgLlJ+xHkiOQd9vmh5iFj9L
f0sKWk2WUdXgNOGKu7LMm0ddK5HKcswPtWrhhGBm/r2Jtt6lwPt6gb5h81nfNRQHl67VB3sJlszM
SdlGuI6uJJISmXQFJWFQHVoIhqN3L1ESJg+dq6KhbAQEn+Bg1cbCsqmPh40cM5oqfrBTfaGYVfQ3
UQTPhPePC9tQBeG5oZlAwHCF/TOM4AXBJ+Lvt+Khku0a5KjtVTkaezdE/lEfW3HxkY2gbkld2M7M
pwHc1VovB3fd1771pGqWhtdH8hyaQVotp6q/84y2uSgRkGG5Fi0GqBGxi+g+8EH81lUYK5bJrrxX
99l8lHhCA0WMCM4H5CSDRemyLU/wWRj1cAyOQ4lojUGKEfzztL95mBh4Ed41EbJ89v+j7MyW20a2
KPtFiEBixivnWaQkypZfEB6qMM8zvr4XkretKt3bVdEPRjABUKJMEsg8Z++1GzVfmfNQHpUHUh0G
QotUL+cqt3ITMX0XJtf4mo+VP0IZTIqpJ8Fbad7sRNl7RqR+J5TAWk5GE50dN3+DFDVdmEls9DQm
MXSmQOm8MpqUcYpNd4ZCobrYGr4RrYavfqwPR1lmoiTOPPv35tM+9AXp0i6siJZUdtC0uDwFrIOv
hBxkVzPxkm3eUqVUuvl+J3fmVnIosrZEyuUWW25hPmAzSiempSVXN+gS/ooAdSNVpYsxwlKB5QJb
qYQsELdkjFp9CC7TcMTRmaf9H5tP+3q7q9a+W1eLQuSFeffToj7KjeOcibsxu+chdW9xExgodEiw
eXT1KOje9BYA2yyuR2esLZtSQYBuTgj36qnZymuK3Iygbxytba6U400s1QHXar+N1TVcAXilKmAg
2Wv9GNZjwUwM5cVaThfkJk6ImiC5W12SXsW8Qu6UGZ4mYWU0JcJlETopOjihnmJq8PhrRfAcpfG4
JAu4+6oN2TevN90/jOEXiXn0b8fAWHeFHj/LqpxpYthooJTuZM0O+l1G6pNOwhQlO7/U3PXoBs22
684ye51an0VcYKRgZYy6d3robaRPK8Pvu53kBbT2zae2/SJhAzUV7gXMA+UgjxFM+ofmh+2qE8xA
JNXggUBg3f4a5Yaynjwk99XQ8llvTTRktX2x0vDPQAnaV0iQ9TbO3HSvOv0A7Z/AaxlzruJnUERv
fRc9scxm4ov1o0P8z5NNYc2Xh7/ONgXTDcMQAOFd6v+mNV9e/rKIG4kdBZwXtkT6dpr9MxesE3ss
nYu0ytsvCOlWkRpP35oQXESW1vHetZH49KX6PR68gfu9xmd9vlY8Njmlg7B/Qa8ZL83CCQ9qmenr
NPbFBpClH+3zxO1XvuXXt3DeTEZWrPKiUbj7uuEqQjZO1MGY6ocUsPwqsE3Us5Be7rT2DhLkKvd7
Q9gfaiHyO2bOQ1WZLJ0TmyQUP/SvUZjZS2dM7XfMh2DHBu+PzowOKLWjo9WMyVpD17bFSek9Zvly
Xi97AKO9TxJeXp6hu0nL7OplIrs2eJs2uZVnBOg68cbPQPQrMxfCdsNdpvrhWZHqjlZL0INPIS3o
WfpBvMl76w36FsMuAvm6S+NV5JF4bIC93jQdnC+7NIAgBDVxGaFuqdvHOM+MeBkL960iF4VLIAU1
+e1DUz1Xa9WrHLlFgOSBUI3K1jfAUNdEwPrnj00swuAcYf9bFG4enIFX4Y0FEHVJALE9JXaGGwqS
1jfRmcibVHzFiJl5KwfrPVPnv3B+1P99X6iOCyttopNRusEL9UuYIVRhllFN/88cYmU7Op6+xYNJ
GFlcle9Z3J11qx5ecsW3zyEzwQXJu+LYlD4VzCQolkoa5HsJ8KjdwtyOU5is5PeMTC/tUrTOU+c7
4yrCYboHVu+wHiq1HRaB6u7F5bWejfrloOKNCUuTvw2X/1cv0a2nMVSGJS2MaavORQS5sVTQfGml
XWHTwayeIKOTAwr1yDK6HU0rcfcN44J7L/xRFT4C7HwkZXr4l8IJt5LPXzrmpsJRhYugyDGF9ulL
p03pMAZ9yn+c2nXo9DvvoBuFlS3kQ7lpIkKTVVc3KYXNDz+OqM6XKA4PmhJ0D2xy3FjPYYE8bwCL
uE9m4Mzk8Y3m8ik2CbIbb4EModhPbUcvaiJRfEyp2kSvgW/WPpAz+1UJFf89o+VIkWkkDoyJ6wZE
nHbshdEcNaF2K2KUPJomorzJ1oHc/GVmbXv1ws6s/Kb1MM+RE5JqGEXxOo+M5gRPd9HM79QAqWGF
3D05ZX03XPPKIARhqq1Xd+rPqUMqZzMV+k52EBq62oc0hS5h0CB9AXwC3Ujh8qQMxrSHJeUt5ITm
MVNJ+XOb5qWs+JLESl2sOyfyXkGdSdW2VdgXOp8Gy96Wkn6u4cc3Q5z+BLmxiQ1iMWs4KbEbFVcu
8KTLp0m3NCoUqiSns3OG3szS9IsKWu7a99lG92L3oIGSORjcwzdVl4ZfMmIxuqRkldB73xt7dF4t
py62sZ1kTJU865YH+rTQon4p6Mwv4esqp0ItossQTlhTZ2NUjj4wj3QMC8W47gLHuw6j7QBgdlgT
VJlylZuWeuKuNVZtHk+noqi/KZpoX+QmLuwvlUkbzKpAUEQ0qREEOjZX9aY+O7WW3Mvah79i2fA0
23an6dxc5DAcvV8xBqornBv91vXVXXWCC9WbJxlb+LEZMvWHDRpj/7FLPkIze00o7h560l+ZKPJF
B3V7tZM22VGi/OGW7dKBSnPUM6Z0Q9bsuUu7zjLomDD+5aGeufbanjJzEY51fOyGPuV7W5YvcqPS
6kD80Jz9yW8RmBXEfYjI2uqIu3CjcFpRauXLkIVz4ce8NV0sSIobXvzO48bQV+6uH6bqTmUAJmmQ
Y9k00wpfBz7IbJyqdTR2LKTVylx6SL1uSYRJS5RBegLeoPK3BS7vaDE9MZtSVwoGqjvlEww7vboZ
dR3x0ZCX5IAPyLEki17oSBXAfOIiqvEmlNxhPRfvxehYG6Xgja91ckRYuffbMXWmu1MRDTRYpJDJ
oRhCCNgUWjfIe9W7Nd9RW/T8K/gj5CQpP9vB948iL6MTZvHoVGrTfx6RmVocfH1cTr8PfpwWackX
+nPI1iILS0Ait4/H8iT5HPkIHxr3PqWLViOsHdZp4TXSHOU1y5idsoDoTnLY4Y1g9h3Vezk07K5Y
2yFa+MfJdUyFM3em1eNo2dcEolLofRwl+OlsazoZetHsn1rOweg/QmG+Z3olXuBeGvsEdPgmNp2a
e9Z3TN/9NtbtYueXPV1FvzTODbeQs+jsbIUW3P4x/Bn5UfpTHncJn1nB3CF+JLNZePe2mm3UDEmi
XHTrpVacIso9uCW9g9wk6Fwej8D+/sM+aMMefqu/naICkwhSVeyj4MkovsREto3ILs6xleEaV53p
GqRpu2TGr0HGY5/aDtO1A0O4oxjOImc+xXCq3luYe61N3XWh2e3ay630ba58dzNpLTJMd88c7BeB
R1yZVX8g8rxpzIPXGDpBgNXWrRXxYhpjcotN+1kj02WXKBm2AVAMKZRB7v4NdTvEpLj1B7MlATEu
CkSfnbWxRdO9TlEY4SjWrF9NQc9dKbvvhLCwjkud/Onj3CBeP1Z/rLGVlVQOP+TDRgR62wnqNRii
3Nzil8NtgzA+SEWyrnIAkmgWiq3b+eBQHKN4mUQcLuq5D2DTB0Ds4949ryPS20B4OuWuYFlvvUpK
k9w4YiCKp0T7LYfYWOpDF9vtIrdT5V+0CXQ2/uu27TJbpjxrupqqap/b7Tqu/vlVcq9osys6u/6N
afqAIaQq13IYWmXOo1TdyqEyUZwdYxRhbh8Ur0BEVr3u7nO6F8Ei9i6Dpbt/2k3xArI0/tZV6LQT
d4xevUKL14rHXC0tK1aHRTEcsoEw9gRI6dIhoYHqpDWQbWdkMUJKpUheO1HRWwL6Nc7QL8oeGsbc
9IfcRYTff/bLR2n0Izf1Snt6SMMnBwaFYiIPa+op/Ms6bSTyLKoTr7+HQRKt1cKrTm2EZCCq/e61
4+7+ojsIDlqP23Zs3ZCiT5e2dzNEx5hr47/nYcuhEwCkTNppeGRny6BsmZE9Kkmzq5vhDxNf8n0i
Wz61QOM/3GfA1aumvFVxD9udOQIuQ0Kn+5F8THCCFeC/k1EX9ceuNO3MkzxB7i8q9yR3NVyrguXv
J338nMDyzx9P+v2jH0+afxuZekAGkvYkqxRmnjY7JcYMoWo9gbL2kFYL1p8olZMuEUuZ/PmxcavO
2fSp+fUvuaCp1v0ZWQ4CfgL+8lWlNepJbvQaqDsxZ9nGNfL/z340nWjEmbZl6ULVENpYzicbiNAz
3bB6esU195cFwSDiYnQDkKo0azfYmNN72nm/8lzTVp0T+Nu2CTz7qrmxjZQJDUEoKn01aRmQerv+
nkKjHKKZy+EjyMRqFC74Ri6TfM5exKO+74c2Wmk6K2NPb5QbIYVznQcYH94v5aaEoXKrRIGHClKf
3YQunI34TIWk2o+O8Mh4HfY9ySg/UWThVxVC+1ISyLYslcR9Vj2AGX7JX9ALCKehMPyjU8fxEcug
u+2d9jtV3ENiadG0ID+9Bkxq86XAa3eWGxgEHCGcDQCs8S0SjXFOM60n9wcsqh4XV6Jopnc8sDMj
XLV3/xkS3dH0L0ncx8RlxtWxKnVrWYVRtbTIDyDlzC6P8oB8JPe5xBVwyw+TXUuNcFXkmYrTKVNu
DYiZG2lp3/A7tsePXeNPRIP6rSmqVRIHzZNTEYAT+uabzdcRVHGOL9fAJraUT1EQ+hMrEhP2PQZf
7XhyvmQ+F3iLj+YTwfPNzspDNJwaizwRq1en16y7glxh21VNuJu6vLzbZcrkqtN+JGpb0j7xnBu8
u/KQ9sImFcib3kMIn/IMs6LBKqCOXhqPm9g0QuFJxoKemd7hgFLg1URySHcw3RltRT9PQiFHz6+O
/1y/+CShmT/PukpPScVYQk/K0T4poHrVI5p5qM2lPpjTwWo67yI3aPiSRe8S6qtwaYP32xEP6Pt1
s+JGMdzmkstSFV2xi6pkfOZCbd1C5TF47Bm1aptg/VqyTBufH/vM9mdmKcVmJrtATXOmN09MQCqM
yT7JITM1pr1aeJOjPt/URaTcydbLn8Vk7x57+UKdUS2gGZt/gk+aNbjVuL6K0M0WbQGEKygd8xbq
vXkLYFgnVqmcUzfDYpU15tXXrvokdpg41m6ah6+UbY2tqpb6TlOU7rnvIGlS33d/RqO71o3GfrfA
Wa4ilsMnJ5k0QG6UXArDALg1kL6tw9g69yoNkIV8qIdbRTedU5dp7fmxZz5DPkLD3p4VjRCe3Ov2
HwflfjlsleTPf36LeUc/33ZRRrncdjXLZJLkOJ9Wy2mTa5GBzGjleEZ58BSuQKHWa09aoU9bzSKr
R6e/e4RB3m9Tl+IGFmCxyvowJU4Rz4XRe9V31LZb0krnL+CL3OgmERSVZin7qIpC4J9xfarH8f3j
DDUHCsR91T/IfZrSpRDDguUgmMoP0Vi+Ox5zzdzg+tlqvvhSmH8ANyjfPZAoM+1mWnfzWcKmfSJG
omJ0ol00WEh/efY0UUAvlfpg+4V+VUpuZQovl4qwtbSzRGGu5AhwsgTnyQPCQiOQDk52s0neOY0h
0BF5oLV5dSlgxSmKdcgLmYNiEY5F77fBu1PgFHDT3sb23LZ3s1DX47zfY6Wxs83SXZuxH7ynpPWU
Q9nenEOME/jWV2KiQdtPa5lGHbhDeQms8kTRR3uJxipYyUfof78otWPcK9GQ9uJGtF07Rz8YQ6Gs
aWfpXxrNOfrAlH5mE9zHzDebF8u2yp0d6MoWFY3yElvGnzIcZ2r6S6WgM/c8J9/AHi0POYrhhU+X
b2u407RxvIG71u9HdLbUDZlK4pKp1n8dLeZ9ahrNRW3jUNG7PYV5YK4DJzDupdb/anS7+WOwUxZh
3viDtf4cR9ymN8XwEQBOjrVzRUheaT4ckSkoGxp35m4wVGbHmv0GBKf9MbDSWZQkx93GsFQPQ6sM
a8Th2jfH/CVPCGOozSjnsAHXPYWmWP+CX+NLE47tNSJB/XUGW8Y0yUltoWmVM/k813mT7eyhfs87
XzvLjT6U/3kkh5qrZqvAxSIrn/BxXk+xlHa96L9nZRDsQj0c/6VLLcTnLrUu8O05zIQRMZou2VB/
rxtXIcmjkMQNboKUz3E6dy8AO/E9q6kPfdam4WyLdB2nSfM26MnPlhv+czQDM7nfcYXBrPPR63lM
qkiX39YaEW2+84KPQJzssOPyatUhkocgrA6j9EiVXqgvqO4p9wx2rjIvdpTEmdegkIfkMDRqbWEL
yHgFPAVlUlkpamgZZB0JxI5y9RLkFbNyVW5SD8EZ94XmoVV16qbfNkNDFqS+CKCKPhHO/J9N21M4
FI2pbOUBVYtuJJKPVD0GmOZpe7dHaw69w8aFZL5bZ06nkM1cRCulEyNNeLc952aSIAszflqW0Wwe
61E19TD1WFyEm7kJLBelsgMsDwwVC7TapxTtdspejYgAMHW/vfi11lzQ81mklRTVBpEZhF15RAmT
s+kQQCNHcqPPzygo+J+Bqsg92DdI2gp0f8cVmP/pB7G1Noab6uT5jquHw3RNHnJkAubvQ1I/WTuZ
uRtpvSyLfurbVRFGtK18H3VxTzLGoRrwEWRm9Q0+abL2vWqW8+7++e6gfVKMY2o2XIF7wYDf64JL
/K9aKnk0Tdy3dJfrBPTK2FtcxtnAZLVOahxBhpUPc+eCBDo4QZlFOi93yfNsUq+7BROsauUGFEA/
fsLjyEg36WDYxTPJDl+TMHT/qES5HP1R+UEJ11vERV09151ebqemoqpYedkl5iu7GtRc+6ImxV0+
yYqoLnptsXINii3yk5hZ5rUe4vQiP6ZjYkws8zEuyoNDTtNujMSzPCg/po5p/+X8JBqndergZ5QH
5fk95398rFVLvyYWJUu56/91vjX1ILbmc+Vrkb+czgyvhYL6Wv52o0ndc+VPz/Kg3PX7tf+v83+/
9o/ztb+9Fvnzs/nny5fWR6NztlP92ZCv5X+cK/9O+dN+nytfhp7n1oZgV20FSvNKPvp//jM//tj/
8ST5O+c/+ON84SUTtnyQ1x8vyOQFPUZFMe5pdhfLUOntN3eoL1EdZ7fSaYs3Agfjea/nuhnN3OBV
jkJfpMcwCtOlokf2G/+SbV02JsZ0zhWpn6zsyqiJ9WQY4BNH0mXjTJlPVppwTbaG+qIbkYaWQHn8
gqSzgosNY5jy9vyk1Gz2VjzEK/mkDnH2Og3SaRNN+8clBad7fMLdv5VXFHkxCSbS2PwuGFbppFQL
NdaKS6E14u7p1VKp6uxrmU3ToQ3Rt8nhYI360tNZncmhDiQ3Ibn4LZuEddYNRL+G7qVffTsY12UA
cB+lcva1j6QcNHhOeUNv+GFfcpJsv2pZYm+LJLTX8ofF80uYrKq4OIMl7hP0ZvnD6r+/hG5+CZRm
4aKNnqcDtrGQ8BlSyCXlrnYc3QkuQxc2i18b3VO0BWQ5fweDhWwnOWYSYFwqw+g3eZtrOG7HZRhB
xFv2IcZAKx7Do2TvNPmsgI/hiEr2zhDUzW0+WR6Uu+QThqQIj/l8/2gdmlZVIP76hIbGzhgXqCnI
x6IuMJ8sKT5BqDfbf77+fbKAYP0gg8vSHZeYWRctl/5JLYYW2wkTweoYbYu77GdJh1l2V2aO2UPD
0QONW+t0TdfKwI1lRl1AiGg3GcWp93SKlg7N9R+srWHsQr09oRSqqPl/szGBbJUi9tcy6kkOCdQE
XLmSOkE/UrrHcakilMNUKfy1JSK88Mb45YNrKx+pBukzgRso6w9YrjzwcR7Zzho1+1ZZy31Nk6jL
BL/5VrSBeangNxD/5JJV65TZ+THx6AawN4p6BEfoPaGb0FlHRcbV1vJ0oQYwlZImRMGmlDh+BO8M
uGfOGevy4IcdZmpf8R8FxxA0PL0y417HerXN+Lm7qi7bF3lGZk/xv0yhcDT9fV2DlMKZy4mwZHQ0
wP9l/+i5pyaJio2lt9LhllljtHBA4550L+9ehZnRnEiqmHyHoH8drNrb8Y5QOCvfS2XyfmhEEuSw
veg2wDWvm0z7UVKWmg3n6r1wY3VVuB2xhanYGHWX3qrawcqHc/73KMsqKhBJspNJXe0c3CUjvOTw
Y9//GsrzyKrhy6h6q9oezTNWM+xuXtGzclRYn4ZExwc2ZXvh9dFh0miW+UHs7xMrik84jGdVlV6f
JysPtkYwEgmeMBtKhVYeKpatYq1Tbz74iVYLcBXsLeRe+dCcD0XtYK3hJ4DI0xR1q8ZJt5lYa70b
lXeJvDh+oULdXJxxGBeRrSTvhS6CVe3aR1dAeUO3v4t0w1ZXqY5VwMW9MEMObiJXt1CK9wEy1RX5
oN1ZM5vuXAx61oPq8dFghx7cY1GBr5WH6Ah2QCxAsufOqx67w8Gp1eHQE82TLuRYbtqM1XadJu/o
56BvB4runeRmIlepC9J6/7FLPoqNQDmlam5hfmqs9VQY1ED7Qr+HPWZpJZpepgwsQplP2srv650I
fJsQVEpYDh7xq+5P/UYbbJ2lT0+azt+C5+TQABq8RbKPQ1A4zspX6+ppcAMbXWfjHkgUJebZCcpt
TcTF0dMwioWpSrTTQNukNZgcR3Uz7qXGRi8NbA3eeGvmZCShvOko0UDizQmq89AcE58La+hv5LCK
Y3Op2lRRNWNaaWmb36m13GW/hir0L6gP7gtMy3Y3hKq6zTzr0wk+GoiFYwXmiQUirCF18N8+HiEF
+ZrDznIIsuiUUv+lTfEvwAPx13aEie82AmOTnfgbI2nbs9dZ+b5xomoPeiZbGcylD/z4+jm2FBTT
tXKRow547Bb2hAZCKK5JqzNa5QCMgw7H/zUTEbSWbYeU/lyoiD8aWp1fA1LSN25OjSYe+mXepbCJ
m4Felw0/Ip9dODp61Y07C1nrwEy+2TaBy+D7XfJCa/WW+NFPuX/SQIOg7wEm7RjZnp71eKMpQEhm
O+mrQETTTe5jOluuDAeTiBn4v8qhyxZ66Tobf0ZnAtYOzvgki3jt1mb7xjXoqPnk/wwl5WDLj9yb
aHRz36qQxvhff0Et+ZojOrx4eYNwmmLYOfdxw/VJ/oSQM38yVC7NiyE7sajpwDfOo26gzEugZrMM
4+Sg8sWpl14gzqEa+E8+1L1XcJ/ZCuTX/MdMPT7aiuUgAL+bMAJzlxsqdmwkmi9qUOWLqPHNL1BL
Lp2CfLDnOi8FInxcp2Vrl6SgzaEuk+ZST8DF1gqP4vM8F3hMEsyyQAMJ3R86/JoMS0r1qelRy54b
CKCngd3SNiLpJaI3MOWZ+JcLvflJ0I86Qte4NQsXRTfsfPfTUtkCiMf/ePcrndoAirzzbDKh/JqU
IH99q542cqjl+XuVJc7VbCvnNp/VUPR+acz0jRL2uIhnQX0dnCvMJD8VcwBDTXr6ceicS+8azh6x
GJFjUz9+Kw1124DpepP7yz76HgkEjbQZmRhF1LTWCKZbxAZIQ2M7AnYS3uV3OImiUzw09UWOWFt+
d8iXZLXLB0J+NOSHRH5cRj43xYBADAFBt5FnJDAI1miscAH4mb/zTO1PbypK81Cbebd1lelPfcb7
BG1o/4ueBtnMpzupAB9Ja852gesY7n/dSQ23I4zVJQ46Hyfzay2K7z18sRe8+tqhUlB8SfnoZPxq
KGy/ow4Um0Jp9F3tRdGeFfYPnZr2tfJ8OPqAZNHHhONVbuihNJtwUKelHCYOcvCoEskh8PAnG2hI
3hQuxcvCEPmbH848Dt7Jx6Ns3iegACN9wHSaau6PFuWHrfjKH0qdfbGrtP6S1LlJMcAi6itkJV0b
+jLFHP+jVujzapmSP1tWUG2NsssPsKOSk3ATNN11h7HLM6bs5FdAFydTv1hJbSxdaAubzm1IihYi
2OmZST2piGmUedWNCXC+I2OC6Wk3FDuEELSuKlFhIUCKl4RDso6aIH7yMXYupOyvSoAmFnaqngmf
y2/laL8Cn0OXy9u4zOxMOZfBqKA645HcoPIvTprAgfH3/fIgSNhhWWUE7wZeHixMZrSvrUVQX9VY
WzlCM+G+dvEhJDLgVe4BaHiZlLp/kiOXYtmCa8wIVYknTwHZtE6IiZEC/c5uPP3ZGlgiCM9ofxRB
hBOBXk2sBe3eAa2w6eNJ+9rAfJQn4Fkl446cW0CVWomIzVOfPaRAWyiF2tLpRvVZ7mPV8x6YfniS
uzAx9yegOHd5rGi4bybVThGR2NG6Sw74nlOC8Zr51lE2VyUAXFdVbXFP41gs+pR7NESxWwtCwefr
+KwM40A3uGzW0WTgW8UWt1I1YswXrp2uKiMxLi5t3qWKN3iLC68lqdY1XxrKDtd6Illvlu2miffd
oQr4pNjKNQzA5LlRPFzrVHyfWKatS8S8a5/l4nkyLVw7fXggJRvEvMfvURRqWqzGWQN1cb0nyo2J
IIzZPeSZZKvj4mHez0wB7AqooCy9W0CrTordssAZ7eJ9cIgKBn1ZnKuJCzHfrgNNwX2WjdFFtlh1
0f/LV974XH/EIiWwSFmuzlQRn5T9qZEZW80gape6a/7WI1rAGKKN38KE8HZz0JuLEbX19eOABopq
gei3vSACra9VVRcLszThV9hldWjJG7o4JVmu8+xK8QuAAb72U7SOD+63pDBmKsjTrGI4l7r+I6AE
v4E3xo0Eu4uwaDqU33pjRlsIMp9WITSqdYGOKKyGYWEkVXE09dp9y+dZ5/wfRhRUuZvK1Fvjpupo
rPMfSwJTSWRkHG3kWhMYbnOeguitHcyfD9h23KgvVpFgGCbDYmloUfaquDXXKSPayhEw1vrgdh2B
dPT09txib0pATvHCUhPn3FaDzSTdtiGEcYoDJGb7GMpzUMITPx4Ic21NwStCyROC1+psNhFoJvnw
Y+NU2rGyC3WvDsBB4AjHysE3LCBAYX8itbE/yUfFGOi0/txy/elA1oj/e4qmrCqUVjh+MLeVLnGL
lmL8lKM6NdKlVbf20qzrdOFjfXv3nYxASy9sDrqws69jf6Z/VjyNfmrVTL8hWVKy7DYjHY2lbFlY
Q6ksnL5s9yINjkTnZT/hCLXcTkfrFuiRs/eF326aIfcvyZDHy5FQvE69y08CGvApVO9y1aQt5f4o
tQlyzvxntzS/DHVg0ATt9LvqaY9ROddAf4/ksd9n5qWwT/C7k0VrGX9UlNVPfquL11JpvaXeJ7Bs
nVK89m4dbGkDuCuv4WhG8wCr70DvwHj7EE4D1LF2NegtfFIYJJPOeG0Vczwmg4qKpDDVt64f4p2j
k4IWzUP8wDVZsNawLdtUvNWVmS8zbLKHhu9siKxqSwNef8ndbEuXUP+i94Z16CxwEMOoFwvq5+2R
erXzBA8It+GcD5hOub9SjZjS54BqMzIzayG9EJ2LCoCfCWdOWiPw469cL6pPfvGuppiIFn994LRZ
c8MTiGl5prWWU1WfXCvS1m1t0F2dSa/ygNw4vDsL2CPVWbEo92PvBRcba/hCYLMtSLxfILLgRxHl
tFDoCKJImFH2EajURW7+Gl0Nc3Sgv3P5ClhvR/cWOkq0UFFV9zmXXwtunT4+RVWhvkotCgM6cOqr
VPIxCD0Tc5sfG4Rx6/6zkcbHfl7hqIadnFp6mLwZufLmWdG4VUe1X9slrO2S5u7WzpqZLKM39bHv
FB52mtgWmaXuVEWpjw6yhr1l+fTwMIiPb17R7gdr8hDf68VSFLF+04RXbQko6g8kTjVnRzXLdWuo
/d0n+2Axgw5XpoOoxDWDANpuW+RHipR/3ch9WtWh9lETexkHReksc60Dt0VLjSdhVKlXSgLKORjJ
xsSPxe0ScBHxOPnRUn0Ml5XfTge7u9lxBgi7L5g3J7b1SnAaTNzYNlbM16LnUfOSm9ZdPnjyA1m3
+6jO6X8OBqDgUIwUetrmOUWgtMyKYdabhM1zTEnqpOF0jAutO7IU+g4maU6Ma7pjTKrbMZFeQDm2
zDw/9M2wtUEWPTRto1k9IzMjiDXJxFEZtbtOBtuxTXSWMeQOERdqgtgfZ6FmmqWXemibQzh7Qygd
9gfd5g2ejVIVJZT562wag/H8e1TaifFc2YODqKQlipFkReYu+bsZd/FJSxCssi4tp3WGnPDUuE40
92bq165TbET/IjuAVuC3hVn9PpGPu+zyfLqHVv5Vhk+EXXRFQRB/abKI3mnYI6YAo7nnt+pEMyS4
Vx9/h5YkayCh5pJyKVF0o16uIbUnS82g+wstKrvIWEj5iKkYWssRh/28IrWDDLeHMVlHLYUQN1hL
icpQ+ExDtunNZTBXNvpygl1GdXSde452KNSkeo55dxZcERFm5sYrduyFjHJwG6YKWhB8zar8miKf
I2M5rvahPhVYfL27PRcYLduYFp2pVhT65+iIUBNrh5Q/EhXUnTV6pr1K+fzskn+jrHyWD6DWY46g
WqaGjBEP3OcGERZRPwiE5S8pZm596jmZLjyupL2+6TBJ7odyrBBH2gXYdAu56O8zKGPCKSyffKMe
9optDOshIRYu7EvI9FWkH9thGJBJNdP3QmDQ7bPqK4HdzTYKImc7TYQMqnWzkSfgNilZ/YNgi226
9oOIr5PlafyPoIoXtgvguFdf88SP9/D86iXzezQmkTa+8v0kmReNwVNXh8rFzSb9YdyQB0rd7rYP
HZ/a+X/GrlGtOgmbEJVmsQhnrJL6suyyCIfrnNUqg1j7Wuy7RG9O0rFkr0A4ppdWZY0vQaETSRRL
cjWo6TQQrRHXAk8z1XfLSvhUlhij5FDn6+Xnl38uaZufZJbzG4YTVGNdbNg2K7tPmh7hGg3Yqd5f
DhbUc4io6GWqBrTl4BTfc4X+fCGiX3hugHVG1AzAE7s7GgDqFm2F8oKAIVzIU6wxgWliO19bPHtr
pCDpyVVz58xXLl/RUC7lT1MMCydaHkdHpNuZ/id3mK3WukehDDtDZM0vf0zeIjv4P9Sdx3LkWJZt
f6Us58jGhUZbVw1cSzq1iAksGEFCa1yor38LYFRFBqte5uvhywHMATiZDBfAPefsvTYMM/Aki8Ar
9Kc4z5IlTift3lPGbNXB5L/JFf5awYt2IZPF39qedE+FFxiQl/Auqb4lDhYr2l3UNQBBlGhatfXp
xS1V+vN0+W9sL8BtpQTxMrW1Yocj3wZq44+HsVM/9jpEW+PKKWzlr9bTn3vRkMFpQRuWbZpwB7CD
/TrOt8va8L2B4OqPrjq5o9Uykaa/qg0rW4Vz2IqS4w0kALPbu5m5j3WtfjHUYlgZhWfQ23GHo6rW
VwZw/G0aDVaBNZZKj/fq2PspM9YkPudDnXygzmbeGRafb47uBLt5T1Er7wchrRI9MNLApLDmSn4W
cYwnd5Y5W42MVzm/nv+Z+wRJpo2XWs2yeepN0fI2o9uPjQmA1Bd5+BfdnI92zR8cc5qmapNlh5IE
gbVr6J8qD2pw6SFH6wiNQYPv5uK7Y4d84enTIikzjZNd8jqviiYsUVnqCss4hm6GPnyhW2CTlI5i
cQzs6Lrw7Qq9pP0uU73aVxMPNseLtouo0xYq/KmbYdrMx+oy70lAB0OGkEnHt50lLWLJ3tup2dhe
LJfyk2twBiyHDFP+bI3s72h8LOL6PTefCt29n6MN8L82506Id6/ou2M7BVwormftjdpyl9BEYtj7
YbOjCEXWqgOwPSlts/Yrlgpm2Cqr3rGGK75rf9wUpgEAKGqOfZACEDcTSqDQHFmdxo+JENlDFZli
W/UpdLpo9O7wK38vScO88534AQ6Lu6qEpqwl6rkMn/D7CPj3xggM49YqSUKqaQ4uAUQYt9p0LM5K
om9G6+ROButONuMm84YvQ6s492anyC0lmAsYsh5uTZzXC8OJtW8gMXYp1ILnsMj6NU6g+thjzLnU
g2hxyU8tNRw8gHJuUH6LRQn2ZKnRPLl08Fb2CjfVbRFK9062oBdaxbO+E+SzbPsoeZ30sq6fPaTY
Cg5mouhPvtFs07ARd2nG3KXWrdv5MP10f2+x/sDOybOwpmhEG7rOKrSML/jjtR3ICzoBqmzOgCGW
rt/DPqpIAsu7wrilIjFuk5qKtyM952A2wrhN/XI46216mU/OsGaCEfjS6na0bbg47pFj5vGaaa27
LezJyzQS7qIoGlPCJDqNEzQksOlBhmWMH4FChKFyh6ozzkW96aZiNVO8c6K4zV0OnR5DYUi31yUe
m9FHuGTgp5Bjx6ayUNEgPORhAbf1gJCdorAek0PFoIqkklvZGtE3z04fRKK3r2ZcPWuN5XwtXPmV
yAyu7HHwRpCq9qUZgAMMFrrVtun9JQ3P6BKNI/9S0s+0oIou3Ri3xsdDL0KdkYwlwQScmJ87P2qp
jbCtV+4GcbZWEutav0ZkMW4q4pcXsWZX5qGL8qcqGrR9if7wMm+Uli6LnQzu4uex+ZEfgc+QKsTU
nyfG0k+wRh3AtLkXVqhH30wd+G3xNvVr/0rOavN/7c6eH0lQzzYsfAHqKdnMhZZGqNYRMApduYhb
ixFDiVLyA3oCBuWzixycTorHtNg08EfytaPmXA0Tq9/ICOOWW8brD1oWCcubseRSmaV5huVeS7Q9
VtRo4apjcDNA37lp+vBsDWV0rPgK3dipULcDhqTlvNtr8SOE4m4fOHX+aga5h9RYfUDiHpzD1Mqf
yoBUYFtp7/OR0YQjo6uqze0HS7srpwtvpyKotXy04AJEA9fl2AC/mvbRVm/ykWxoPiFuUBGAF2jQ
QnVxwVEsLjglGawUtbGYT2BILvaGZ6ubzBEGxv5UbnLDMJ6cXNs3fhN8U3BqLtTKCm7wWoyHQNJF
oBZbBBOWVAj3NUx95eIy+b1XS4D682FT8faqDWdAsXiW4jJaDmzl2DR1cByn7sOALf2ElkvFJ56b
C4/4eWKBtn6pp/dpzFyLxlC1nHdBwvbXSpZuDYYoXA96fcMk0T0a0t7ySoR75h7e0Z82SlLp1UK0
vbuqNQx7BoHGl6hWlxD+qjMjA3mZD4UYuvb02/YyD/a0KfWnrGjkgUAXirRpF1hGv+pt8SIJfcYh
5A0EF2IiP8ppkxQ+toF5X/h5eJwfzRvy4pulHeYu9g6iw3AvaptOyavnziu+4fAzVBgeUaAC4K5i
ek4ZH2EFffq0U08bD2rw1qS/vihbR7liUfCoTXHr8x53vj/sTefERFd3CoNkqUrZ4npDjhxbEECE
H25HUWWbaMiGJy/SbBTQpTzNZ7HtLW0nDx/63qvBCxD2Pf1QhuKS6KOQdLBpN3Yin3tLHR0MgGeH
PNdbWuElyVd17H6Y0BiGFsvIbHWEbZ1yj1g4gANeBdvZZuYKrdhqZWZ/mNDcrAsOGgSDpeGk7a1R
YA4hMe7SM6BdttyxNqS5uRf+X+5lPmFYzFsRph5801uNLkHMtS/LI8ALWpA/9+dHhDX9OA10Z0V+
bQO8zaXYCrLreeONPOpNReNWU4ZMhiYNPXxZcnElWVARr5xV+e1rPqb3zH69e8LnSQhqknybKHb8
FABQm59gR12wtDI+H1GnSuVOYLXbEdbyXDNrOE3C01tevoRWVXVogs7a+S3A5HmINioQL8Hze8d5
F5W1vqb5B/1m9LVN23okhLDKQEoi9+Pc9Bkdwg1FzV9JVTDc+Pa9xO+drqRvfTUVx9/mimbvLDM6
gT0skbEOtAjnh/NGBdhcOK5OWc/Znxvm3NU5IBLiz4sJbdK//LpaI5nVQWshhD1Nhz4tbEvScCsW
VegifO9ckMy+7KtWO4jW0h7cmimGyu2BIZFhI/2zikkQtND/xdr4RNiY0Rs/j+llvy78+gtM0sxR
vLXSafplftTRGfx4NEyPlAiVwp//w/TpD//lH8ZY0UVCgu8BmxgBGr+u2DG/GIPqwTCNDG6evS/u
cwNZCKmf9w4y40vkeQkxD2Q9RCZlxvwol056iaZjwXQs95tiM/bjy2DlOAhZKVh3ExdlXJq2Wt19
lJUKJLTHuKswgEHsPbbO0FxY4RFAkG18A+JHP921FKeho24zpHXtLn3ScL4q6ErVHitnNi8mGemc
/vwlcD4PVjWNWpGpnxCIaAz7c2UvO30obc/2FgIPW7DKReQuaObUF+J1uIFaVGspip47DJFM6YWv
vxBc+KCXQ/tehC8u+lVGRfW4I7rTfm10Paftc8nTbjjN8ISZpdCGur0jl8aI1vUtcYTZnZoZ5lEh
tGER1nF7V2pOeydSbNqlBwiy79o7UlG19YdSwB6QXLX6E09ai7gu7j0D8CCAi0c1B4ZO/PczEzOW
A4rl9ctMv4TfhzpX78JEBS3Rh8+uFYi9pVvIa6fdcsBS6CquPM5noVYs8ojZDmEIGfpdqJ2qvTBi
R9xqTjVwieqLl4/uuBs16pmUCvNetXmK3imPss7lVal2AYp8T3lsArXcZ1qUr5J0eB3cNtkS6cTf
Fut7tbWb00/jv0/C9x5ay+sMUDHbfQh74CVNmNt3JKtvGAL8Rd1lfRKc814bME0BlEx0aDRan6bo
NIcaaBSKu5B1cG3YCEJUW+hAiWx7I3pffaYxsuKKHL6m00jPIk/lNKpyvDRWCh1C2sFrrqjXkyX6
IY/THz9pS6bwISKJtRMhGic8EZSQHbR3jdfEhziJ1IXiy/YuCNjAAdgmUWNf5r0QzdxajCgf513L
GcLrmACTNLXQwk+/4z/9SmGk6kJ1YZiWqYZHaxq/BnnnntyyOGFDrG/m0NP5UC4yTPw8oczr+kbF
qLfr22aT5K346LyZ2J/jkXs5dp5gExl5fejAO998esblz793n5kxmqE7uATRHJqTl9D5TChsmoKJ
ggibZUXvaWzSY2ujXZtNMk7cDvuPEtWxUbm6UlvPnhhUCSpG377neoEnJvDEacxleylyO9nE0+Iy
ypqTI3PlRgfkc1935mo+TEOZ4AwrYY1DTbEzWlXZhENXPwvSItSpGRn47TcBQ/04w4GF1yfnKHMO
lOHAVTrLTs60Bw+0ZntYB9Mw8+NyUYu221BByb2dZv02GsL8jv9Xs7CbrsDRZzRXBSY8fyhG5sji
xij1jDmvJ1aRH4hTMG2oxVWMpqG7zcmAsUeS9VQrfUu1dYNo6k0DRUv2ZdA8cPrP34QPt/EfbwA0
ETSCvBxDoz/479Y3mi6GXwod8ZNuiMU87dJStVusPlYqQ7UNwp6/c1rBzJuuc6IDxmDcgfp4pfnl
wbKrO4t5HW2fOrWOQRHsPi4WivpQyba9qrIYN878yCgD8Dwh6wHLbK8gkrVX86P5bBhajzm9a7oY
/IDR6V8ZPYuL7durQeTem0JCTGYk/nOiIT7W2/pLT+P8klYyQt7jFidIxFiKk3aydjkx5gq7vY+9
zt1ZrY1gS/fWAvLagZg73AV25hQHvhP7+SM3b0oab9t8KJN1DoUmUIYady3vihU27343NWds/Ysf
5mfqhOXc521jhiodoOxLApbmOJRWuKZ4Hr64TQCFJPsCJicnrdny2+Ncuo1+puz0wkS6hyowWOoJ
/kuEP2gWkbQUCU0oDJLAsCycRquP/aAf5VLmVr01FJVgvcq330I50k9vK/Crerj3KvqWrEvEtolp
aFFlQi6ho5zBKlgx1fFPoTaJkBWu9H1Db71grXlAhhtvZT+oG8jAwzNY1+eksL1rtE/0Ec36ThDr
dIkMYDqmQ5shjI0n1CnmMeSNBsBMPWH0DH7kEMhtA57lup02vanVXM38iSQ/Hcu77IA4O8QeQXJc
W6YmhUCjPcy7pdb82KVvtw0JegLIH+YHCMfDc0z4iRo2+mNtNcaph9O3nI9D2cpXvdJdj/CuVi1m
EXWboGlnqOGeKmcg2qo0KHxTpmSrsoIZZEh5o9ijiurxsSwL/6mL+vhimj0FqqM8dnXrbnH2LmFt
2Ss5vXRh4i5GTY1foLejLWUZsHNa23gcbGMnE7/8EpRANFj0E9PWkcszkE+H2+oqT5RuVyVpfOhC
IU+JV5OkPeYpPSEH86HpBRu1SsQmCkJtZ2UsF36u5SvdvnY04DZO2vdEqIj+ZErX3fiASa/Rw5qr
AoDNPR94lByRNT5H/vimtWr/re/0XV5JJVi8O6VUMRw15S6a4E3pBHT6uSnEoO6gqV7Ph1w10MCY
hBd3NKgyp02hFFzmcF7Pe/Nx8Fr5NnZks2i9+lWWo3+B6GE+gq1del0h792EBGmrqjfz4THNXRj7
5BkQrVhf6WlIuHnqlHulNScCK4uEQXjNummkgFJDrCO6GGPhZR0QvCxBWhgykCZ6ZaVEWJrnR2HF
qzc/8v/16OfZoVetK18iuI+skNjgrnfoeiLHx6QcredZE0ZI/OjNXxQG7ufCgMsnQScO5uEpxtr4
bGArGBIjQxjoOOpWwxSHOQoBsMWdoPnBP7rKX3LHv/JNUT1HHVG986NgepSn5VqvbG87p4aRCNSM
C3xBJAxmTG7CwIvXqurdS3QoDLxxoMnM+VZa0M9nO4mIlr1jvATuiKcMsvElmh4pFPQ7gvRCbO7d
j65O1zpgFMRQ7uNJ4ShJaNu2oUhX82484RZMMR568wsZZsWTJzTnYHkF3KJpF4qVTaAX4jGFWdB1
bTfpYrBTxv5CNNlXBaoCrsROBacwKZAKE6cH8Ns3XyteLB8dNRIUvOa9Zt81gxOtA+HEF0uaGCSm
TaeopzDsnH1XON1hfqT4SY+snmOUst3Ho/nYfNZXFHdZQepZZUJm+OGmBDoiKZmCU/JDvwmuWUUy
xe6FeGkiK1g5dPKOYQGqU8dRflIr+cKttju3dt3eR0IPVw0csl0/7arUAVt8jzE6ifH5z++14t+K
LYRGzERo/ZrC0EBOfyq2EBd0ePO0hiupv0kLjDVzqKAuLGdXS3fPMiA+zcfxY7738O4P/ZSK1lKc
BEOv3cx7Or7QOLdOXkw2WNg+UH6mt6R07z0RW48OUt8zNoWGUB2+oozBnJ1QG7ItHd+/Mxv7zCT2
ux+k0ffa64+qhdPGtzMYCIWiH1UYMFcCltMqpW98KLQRkI4fJOPWN2Gq5GAUvuR0wxbE0QZnS6+f
Oicejj83Zih/7NrFIDZ9Gr/MJ1tZQuTTXBJtA2YCJnUG7kQz3EGHttZhRrCjFiKcbDu3vQ4HgSyx
iLMzdWt4srMsW+NPHWzpnT273n60RPPE+aZior+4tZet0U96jFf78NFlHWUGJfn2VRRs5vm1j7bq
nDY3QdwDYL2Zyw0uVy4phG56Qnjv3ZaafORSmy+EOtiHGfhhFTFuvsx316Txcaue9xOzdqGqpIyv
VC3DFNg2dMzUvdHm1vuHkyIJRnSAla3dqhqsISDSq49pNUjrcjdgXm0N7V2Ph9u0brsvVqTroEl0
5R6W9LgaEPdfyym0UKaNcgwhae8Hlit+5fU7BY70Cce2cTZttzqZmccHqfcJQJn6QWpbBlcFXcG5
1RQmAT+YUw9Ma7eP5Vwp5CHIrXs/t4a/qKP/zUPEp9tGSEdDQbcQ0n4G+cchJWABTmOpiGZPI1rd
K1VOF03JrHtRC+NMU+Elr23znnBf/VZJHXxbOul2deNvAtqaN9H31ET2NU4t1AJRO03RUdLxTO1g
OYu55jN624oT4pVsY1i9v8lshNqmoCEcTpc3fSgAWcs+2TS6TO9NFvnLIXcb5U72FAp5OH7JYJJd
lXS3sV9E3iGjmF6UTG3vQj13N2ErTJyayXDmUoOQNyb2Pea7tO7ykMuqagJkJRrYv8ZQ5sSxd49u
O76CjEcOu9TSC470b3ociUM7TVkSAi3vMBRm6zww4k2ivM94cQzz/UZplGKnMwu/eEQaL/L2ff5g
1rHfb6ww4/6d5hYOhI8fqWXT88fJlz+/KhmfKIIaHQ/mkNT+JjYwYX2WQOqq7mRjaJEGPifSdwLS
XCVFWF4PnV5sbRGKVd/J8cyVSz8a1IiAKZ3+kTSYRyob67tiANHs+uRlfmraxjzVJaBDNlATTDd+
ojnYPKKistZSq9Sj0AL9rLC4Xhm+KF6E5h+EkNb3uMiegpinetbAU1N9mlkON6R5P1DNB5c61bSH
f+3BStHnPcQX8i9wyMxZP7XFDAgRSK1cU+fF0aAs/toWq3O7t4EWMjaq3EgF/R4hmbGjjIjNRAHX
4qrvvfAGZS8CV9vJoLvSFZ1Lqz22K4tw52Xrx+a4SqNE3zFm0CzSITVY24w2mG9Pm8hhHcm6Yjvv
AfItQBKKYQBgk7wwgMJv9fPYx8P5mVqbjTtcNPtxyo2rumhn6BDwRNO2hDyG5KmG7vj2KVpdjRzY
DB2at58nKkUL4b0YBrpl/UiHnQLAKMIdNz5rPe8GrB+BEsXDxfTV4i5JN7X/1Ls2/WTitRbKJIKa
N2lWjEuXi+uCeiN9yHNSRROtMw8NvLznpDnFHmyHtlPik6dliMpV0DUl7aVtZzNXIlIO8TZdn/OQ
VckSxJNDp3giPJh1dRNLxnItWqZ5b873MSExAPsnZrwIQ3ILGD8yziiXXjyORLCE4UNny61SOsNj
IdMFbUc4NoIUBEuk6p61XL/DMYHekXjguPeK14h7KrwGy7nElR/uZSiT9VwQVirdoq2Bxm0lavvW
2quzVEDJ7e6g6NzSPkZUAyLTdZ5O+FOyQj2Y/kZFSCoXKW8yYRRn1CHTJcu74Ybq3TBcT3eN1QfL
+ZiC13BpNFLbxzKTZIhXX5SWnK4tMarDak6S/VgeVlOorM4t8pAicXUMpVoytsBJJAepHwE3lxXC
m+knxVC8/iQ8h1p7M1YJ/ALVZogQdXq09SCe5JchicIFpvJx4jbbJ0NEyS3hDF9nqlvVjwtgkuH4
6GLDWSiFZkC9WHQxSUMzc0smU4rFPDrsDeI7Z5XFvLEsG+QHHZIP5cXPE3NoHRyh8WBGwX50zKMZ
yUOXDy6QUS81mLNCml/VldFvwVyjd0MTUWf1SfUr/asR2RvJ2/lVSq9aTjKQm0KjPxRFrGchhIe3
fqx4u1Ijq+dn6Es54bpsenS7ylCvxjxqDnOjIMzyGxk12tW8F3nMThVa2LuPk5YsF5bTvMdWVF+w
Jhon0YyIKruyDoAGEzlsdzLZZPETAlPz5DUDgv0k/eBQl2n0Htadtp+X5vMiPUNnEIO9PdHVb9a1
XtvrNnbsa7OPrZWpqtQpY2Jfe3ZnX8dIU3ZYHDrosv881kttOMuBQSRjqI+2sJKfFCVYdQp9LfT3
wSrTSh6FTvjj0XTMzybZcz2qe+JYqTFmQZAqmniZK123nncdR+wsYKu7utKZjc2RQPNGnWYYUSOP
BFgke5Q4V2GnQTj6D4XlfGyIRxITDf8h5/JEgQfTq+ub1DxZdRruo9beWEET9AtvSomrdONLCTR3
O+/ZqEjOOqP748diSVEUf5eF+QRBV/VHxe9+PJqPZZLYlbIzjvYUvzVncM0bumiQUas4ANPD4NGu
Lt48/K6QOHy07f789ulMDeNf+mfTXIjRydQm5l4pPul4LIYKYeSKYmkzJFqpVcbYUhsZYKeI+Wax
zLyLJp6Fjm6lzNUib5KBj8VZ9ilXWnxzqdMrC2zG2XWUFijIPFSCQq3y4yAsd0Hbol1YbdPdByPG
P7SJ4TmxGFnTPZV4KdLmoDXFGz2+ftn4g/EC6OOKqtJ4h1DLxGJWrvArUiWEI+l0u6AevRs+6kzO
XOeEZ1u5wZ/s3RTZkO46/JDLedfRmpR1o1offgRLeMMkOS6PP3ZLECOqVXwc05WhO0qfEE49LfWV
UdrYFzscJ/aUPq7lzluQ9t3t2JwCO1ffE1d7bGE9vTAbqMBWE4SBqTzaxHQLzu7YPFaRoi/zIBQv
GoGb9EpflMas907X5SylOKwQ/UK/ZbglzKQ/lDT8mGGZdH6CiLs0jrRkfJzf6//61v+3/5Zff7yr
9T/+h/1vecGFzQ+aT7v/OIffqrzO35v/mX7sX0/79Yf+sX3Lr76mb/XnJ/3yM/zqH//r1dfm6y87
6wx51HAj36rh9q2WSTP/fv7I6Zn/ryf/9jb/lvuhePv7b99yJhvTb6M7mf3249T++99/EwbzsP/6
4+//cXL6B/z9t5Ps39JXWfn/9jNvX+vm779Zv5tQUyxQQqx77Yk/8NvfurfpjPm7rRM84/LfFF5n
TWusLK+agFPq73wYXdZXKAU1V3P5ExgSTacM93eDrq/NPR8ki4Zh+Ld//m2/vEE/37C/ZTK9zsOs
qfnFn12TKsFYCOx0C+8kIlChfvp6DgX2VV3SXaL9CVs3ttqVhu+lSYkbxJRzDDWSuKO841rMGi2l
y7zO3ae+6Ig7rDyQo0U4LiEzr41qVBajR5RbrLvfgGs9BQIeFKvddF17WAVknSB2db0rr6s2vaea
K9ZBANDHiG+7lrxKu77pYqKdlQoIKUD+FXYedHz9S4WaoCzU7ywBq2VFXtEAQqhrNgGy3A2+g/dM
JR9ejjsnbvK1CJAQlXp/ag3nlTkC63aBQIdlRZEYKyvoCKPxp2DSsH6obfJtGb8vMWeBMfeKtSGH
VZV417ZMSTZCJg3I4mIZwwux01e0PPe2zLaRbu5QnZ37zDooo5tdGo+oL4AQWAlbdUnx8yLpU6+G
tFtSeveZPkAEV5BocEulmK8RKSu3rsQZ5ebdCmEtAbO+SmMu1SjOIAYsvMFe9gX+KSY330UPRN/x
BSFuDMKWDFpffeTiC9VT3V2s5K+yY2Xj6LFOhiEuYN/MudGbwUJ/J3Ngk6vVvTuor4GO665qQHho
8Y3eswgVctnR099I1zKWLclgS2VqMI9oChdN7X8nXrRes3rPSWFGwV5V/tJIB9gG3SmJrsqY8Bs3
M54TVI1hGly1tMP5O2lFGME7ouNX33dx4CuXFld8HJb3xFOjIxTdPVxMqK5+DMifi71itz4sNXJk
NP6hXQ1LDMUh4+HxO5yfS2jUNIxJkhnx0GugL3SbFzAF/sTY7GtFEMB3F6rMsi5Q9tr2PebE70re
q0upduUGl8RTaFRfB1fh5bGLa+kTluEU+OpMhc98ypLznGESBQfqGLeUPQQ4AULepCYYfkjmLF3A
WuJBo3woWCp0NkishFxgTChl79DrcQyEsSRxL81KXxSaGi3HooLvWLbpYrTF2gLDZfOaq8oXET9r
KeqcsRkfhaMrDL11sfJoelfG3u/cteOFh3AYuhXuiVvZC3OBJDX2EWZjYUkRzyObdlt6dWq3ZSYp
Fn7byEUFZa1n5mAW1aM+oPlp28BaRN+yYrixNQJc3PKB7t7U9mNZXwPdV6X5aMn8Xm09Z5nq3oF8
vJPTx7dJ0D5qOvq3zihXSnXfFScnCNdG/M1Ezr5sW8NHzXACBKovNC8sF4ZmndusfnJaSsC0fHS1
Bt73IBahMvVafX8BAQHZmGifTIW3CW3K2tDKu1pgIxzqFooJnfMglqesLw94k16zoqCwkuOmyHRM
p/zZkZN8FVV77alELelu+VITgNDrp5KGTgLoFJ0Gt7ck/qanVGf00uqFcJovvogOvDyr0Qy/xkRo
oGwM+sJbEiRCl98n/UQ2OgJmf2gWmSteq8kt6qTaso+NtYLc1PTrHHYsYRVtSeh1hHxSZksypb7R
hyex2O1VCtewWg+2xfcOgSK4m+dKy7Q1jNQznmztKLoaAHsolkZbrqxmePY7Utr9Pj7lhrewatR7
sB6wj7MyG6PgKajxM8JjqdcurVgIgYcQVxUAnSJK22tsSRsTRPSuVQSLHvR7iLe4jgzjacCHTWst
5AUKfdgIJmajzqC28oOLUKp4F7GGXJR8/kCnH6cUHwJ/DDI9epPvcZLwcQ/gte3RLLJK6NNn5Rzy
dVg4tIoXJYSkNujem04QMd9Ns1CrJPKup03heauEIRthDgeGFzQS7XDTMKBJsdn0DF2WWF0m/oul
QZdpdmLMt3pVHzCy3GBMRj3L+5F3ubNqinfIETsX6djSGYdije5/GbbOl1o1X2Lff+W+c/Ls8Caf
aLgQE+9hkpJ4zhoRnrlXWItQNzbxSIqKrqZy0XjFTlGJLIsrwj5GRCELGmxHpchZ55eWtwTnGp2A
MG34f1G1AwWVKGxKS73LXMtdkR4CUyFXn0Slb1lvXzX4V/RUAMSLXeRZNgsuGnTkUl1bUcQ8p/Rg
6KneLTZT5Ijj1yHq72nekKIYCn3Z45BYZVHyHJpdssKHAGVqIIhLGz1wi+3WisthPV25EI4Um9x0
xqUXegOThThdOiEyEi7Kys4sw5MRM7hk4rD3CEwuhnJcAfanBtVjEBgS13coiU0sqLfwTuO/JY6B
PJ9DUHW0YlLbOeg6UVkp6bZO6qSMSvJqCRwUsQ263SjtkouSME4bWZ2shMAIDrtr0WLYVvXoXKmS
pqFTHqQeU00UQbby/XTZ3nhOeM3oICIZs3hRXesJvma4KrPax8GV7LXCfedWcIWylmCM/N5LR+Q9
GX6qPhHNUhgtIj33KxXZxcJefdFlFT3myDulIq9Nz/s+Rs5NE2trd5RbZkHY9WT0DHkeXJXvNeQJ
jg924lWLodh3lAgJixYwh9xJWTovzEL/FtaGwDmcrX2lIeHOlLcjSoKN14xHFGWrVPQXt0ddylVr
DWPrPU/ifOEkFTGoIcR4pQrNrWZ73yDdmKsybvOlPXzNpUgWAhH1LgreTd9/LqAgRq316Ct6z225
PXsg2YE8nHIwMOi6U4zUbk2KmxwWmQpyPrK620RqHx3n/9V6/P+nlbaN+O7/vtK+Ct++v1XJ1+z7
2y9r7emnPtba9u+aRocdV5NpM4QDVfHPtbb+u25pJk0CXCWCtbP5h7W2/rs5neEHDfR2ADf/tdZm
Gc7MkuW30ClidRRR/6u19icdHUYZVu7ASSiHVX6dOhmy/pABJZyx7oe4QlrV6j3LksxZiES9VWQc
rUs3OTOvc3eYmGj7xyMhNfRh1kDsg32nkrjhp28tAB+4crVzIsrIxuxa6ktLbbd8X4BwJmBPcr/w
uBUpzrKsNlFct5ekmBJi2grAd+lua4OE0LpKrkWp7YXwSOaS+TELCJGXJvR0EkFpsgplq0TKm6XU
4bWhiv7sJ/nGy1l0xV44HKLeaU4VtBv6nOpxTLx8a9NYXSFZqO4tbiWK5VbEByb2BCggDik0gx0B
7Au3UFtEw8gGcM6v//BZ+FHZ/LGSEf/h1TV5jyZ2saXr2Id+fXVVg+uR7lQO4HDSUVKhrLPcHFY9
dvDbQi57w2WIVJbrxuGWYjTRs2ZKVgF1Q75Nkle7OtK/AtA8a3n32NvYV/787/ssrJvefTzBKs5k
U9M1Vf0krBuMMk+rbnAWnftkwtM6MNO/AOs08Df6hwaSMH1e4Nhm1BiLBuPOIo4LYzta/kS/O7lO
V68IBPAONtbeo/mshNVNYfjaKXGSHuEdGW5u+TyEdPsae3q/MdJsiyL+QgOiXXuxdZk/AWk7nsaS
jFWmJe0WFfeLGqj73mYoNDRliuTlGmfBxi+Scdd3wbhR7HI4IqPZESA7LJgxtFfaNJDLCTX3Wyu5
M5FO4j/DDGgODUljI8K7Inw32ka5yhlXLYNIZyppa5e0U2E5QIj33XYnPFJpg5Fh0QBLfWN2jXeY
PyBZOrZ/Ma+wp8HxH5pQ04tvIR+hzjb/D3dnliS3kmbnDTXaAMf8CiDmjJwn8gVG5iUxj47B4QvR
hrQxfcErqbuqTSXTq15ol1aVzMyIgPs/nPMdwPN/003/06PXZj7KyopysyhpOdz0pa8CTOCZ9dhB
J7kspLZFNt4sNsF6j0HQ2GfD9trcmJIuM9ewBwMuy4YrDrbBwWV4HVuN8k922X6EvvYSCbJ/v+kT
MTfqfg3C0otYbC0s3xjz2HKNqpFE4HGp4FAYFuoujeHRt/Shm8n/64IVaWqBvEb7uFqmNP5j6EcY
ePKKjTA72sb7yQm3U5rOxPDN3Lpb3clDgS8+2dZ54aEeGBhmYjhQNP7KVVESGeoUV4CU35x58A5G
N32R0CcP/5EGgQyyjJxBkbnQ2itfDVCm19kJNaGAysdqVjY3kFbtv+WeRiQWKnFIXWqK2YL0lLbI
2//1U8Ib8l/eKVh9qABCBFOc4i5H+H8+JBHZkewwtXYku3zdZ7B6fNmVewAZj3OOxWMM7UdnWT5C
DLEma3Dcc7phmhVcWbn6u63JNZMGlDbmum17Z/oJrwrhFzbJFIA9zRnhjZ0evdgoe+Zmhj1deJtL
+pC65lySDQGRtY7H0BhPC8uvfYVk5yBD0/iszeGCKsq+sOQdiXJO+1NQlOuBndJ8SSvjNXBky3/I
M9EPdTwMaAwwwIxkJkCduaVx2CQW7BUrk11VqZGgnNfCFLhfffuUpzvZZ9tFu+uubarxSKZod8F5
5FkgDZquuu9wGkC9Q/tkzuNRu9NxcoLfRj+vEcpm62QVtA0pi489cK2vzRyDhGygn52LOBLH5xpB
G/ajlrRnRqhJ3ztftjtjkBnXJXbJGsG2nD2lnQjuSoh04COitXZVMoeB3FXSJfOyo6wJlxk5rjut
Ub5Cvi+oo6LGq9VRShg9vSGNWAoUAMtckt8Jg+1R40fll9+7Y3YkD9NhxGk/4yn5meXGa5Xzv2Se
8eEjJAKeRne64YI9VpKy1jGdYQcpvDwt5oAlWFXfCmnncK+9PZiOCswr5s+xQ/xeZHzPVtBUuKn4
Vok0jYdC/WICGyZACXlwU3icpU7+/JjhYAR3VfNNi5QsqCn4ZfbVcpxH/zD36XAWg3Yif6mzaLE+
LT+zANgPeYz2fbXdgYi11bxu+ejDGHBjbcy7Wq0vnjQecrs4zkvQvgAQ2deHsG3nbyMJYycbylR9
UznbTX1BEIZ3sGN705RejPO7jadwCuPcmbLLYBqv3eSCAVo9nGuLZycQNM37jfMrzlLztPrWebDc
DX94NdDy5kXCwq4jpDtlXFPfLejLD8FAivBk33nTNMR9Xn2CFieBREcp5sTlZmwrCRYILPEyu4SF
QWvMYzdof5Sb/RiAw0SJ0sVEsI8xzCZE8CkAQek/9MsriNBpL/P0U3vLl0PSCDICuHSLd1AKH3O/
QAK1vN00ENTrI3yysdXjIGiTQFeXlIjE45ZOjwRqUJg71m42NnJu+6G9FL+bzupPSxi+oyQDGRhU
R9VCNHfCj2pLSVx1KOHtc7v9KAu/i0lqezXkeF/bgFn+9Sn0X2DXxLbYvof/xGF9w9XxT7VE72WF
ongAljnUxcUdAzo8W597n0zaWYbhqZ3CV9auzYXMSTMa0Unv8BNeDdxAp7n3uFdZAUJQt86OA1yQ
3OZLXjAtyBfEKSC9Un2gPgKzMaPMtQgi2it2XZfazr67oVT3JbVXQg1psfBp/FiAm4y9zGFhXC/u
uR+yUzE24tlvduGEsBuS38p2bEbUeqvyJjUcaef9KA/u1Dz9ml2S9v71S2T9Ez3A5CVCEkEcNJtK
z8GT8o/nNMB1m1Ap9oZpzokb8n7bPTZg9vLTLsc+yCiMW2kuBd18g2PuT/Jjp/cZj/NeFnelmn9O
wv2hCXkXJI7GheMayIDE9f/yg1r/dKHcflAG3OQ/hsABvX+uuxRWTqoMwcDrKR194E/Q3l4twQ1T
Y76K57Zc75wwjyDByWSFtbgjmP5f/wy37uIfyg/LpCr1fd5rEIA+eol/fLFQlWTCQH0Z5eNwmlS1
XJCVH7qQdVHDghze9BMg1bd2GdvD5e/qgaiCMXH7rMLflG083YCn/0Qd4ZL2ADK0CIVHB6jt7Q3f
PDQPlp09IHdiSkkqYlxVHbrslnHqH58w4eT/0zHMJ14e3LS6mgxQz9vtDzZn5rlXmpYCx1piQllv
o1I9LIU2ziIvY6ij8oH0DwgZAQS1LUv+xEx5PQmnvIBnVxboywIvwjtDJlC2PHiDYnyPT0bDyJs3
Izj865cUc+p/eVEtqn3KfZAjQJnNWxv4nyuFcfWDtjBYZE/a+9lMC4imsdnrVaFc79pnuwULu9CN
TLaxn+aFmaTXjMlgVR/DfAtMy30zHporQgXCQdqbGR0jMEM5q+qDQ6DyJ5XWR1Uu774DPtTvkaUp
nEya7GQ3RsoTvgHRDJh4MulUdYCa3X/WQdjG1bYuDLtqdseEr1ZwYo3ePzEffmAwxcxudn94o6Do
InKVuZD46n3m8INPY4Sg57yt5DvZdUaeJMVzKl0rmrzw3JE1sPMOpWLKmlVV4skBTcnqGTH+qONk
OjLxGu6VeYFtVubvTuaRnFicl8b+tHsID4JEXqPbD075A+Ugi+G5Zeh0y4zylB9lxviVL7N9gDPF
UmZkWkk3FXlC0cqRmKN5B3aez/XRhZzbthQvjgBrm5FQzuQb5SPXJAlCvOa9vWBWP4y+aVzwyP2W
3rxEhKkhsZTyDqWhG0k3v+EISuTR9crb47pFIh25xWJY8sNswstZQ1qINgJXhBoyQLEtTKNMeNDq
xKvo7SCWSmEvO40eh750mYlUa2M8A1HT9M19R2ZA7qUQkl0QcSBpGY/9BZPly3HdIVaD75y7ab2o
9B0eqop6Rk8Q/x6FY8aN2LzDWIcLOkodNRBD+SEBMzgCKeWXdFtU6S4gK8otSMsuPwFvX1qoYucN
3P++X529ayPRrAB/dXds+KJF+uyT2X/DJn+qw9mKrboMz3ZunEQlvcfi3djs72SmOkfDgd5pq+8r
Ab7cpdM9t8gzb8NPbqU6Zp1I0rVTPvqj3uK6bkmwbL04zUgQVMtwy0QD/01iUf/kBPXPzmzTfX+D
0+qGIbaVwnjyW9BWLkzUEJpXKE+t5g3pnKa/htsEgwC+p2hIph4381I0lj4uTfagZ/dEKpakfe5q
6Greixn0gHSc8WMe9UdFrJ12WWcRtpm9Mn0ngLqdd0WzkANvjMirCcuM6ya4GnO4cQxKd0dRFoS6
O3fzMzIwb1+x5gW10XgxY/1cpdemvh+M3Rq6vxaA0JQrRbhzmAVPzB8imKfMKctI281GSu0tnJwN
TZL176QK8ljV5cc0KXvnujyZLY9HrEfDT/jwXuyQObu7SfSLOTtEqp10ZudTrpZ9IS93TIT3SGZk
8OykOFWFL3ZrawTPWSDuNa1cIoq/QM/Ul1a2wy4TGSK4CCktguKN3jffWKG2GUTHLJBJsAxqb8Lr
c1udeBYkf9uyHknGHtcoJKEdy/rABB9pEmHs/gPLeyuqnfK17e01att8ikyGJ8SqkHvmCBeCNJZQ
SyQVeNBdk9Y7XKa/TYNpAUE9uCHDqX/yan+Hcqs/DYif9qFYXkEERnXjf6ptfVWdGV5kAImzEfSl
pMjqwRhYKWRN4pAkTkDAS15SCdf9xVh1v7fDlYUMESUzjJpo1D8XHRiRSf0azVVNdtZ3pNeH+bYb
HOFXxmXm3zB2Hvsqh/Fox1WSyR8D4NpDT6/dZOunZWzDXTD2FVABfCqDFZmVjdRspcHDeVbELmyS
HZadlo0NWuu5G9g9D72CpVVMidWKFqy1i0K0Wh3sO939JiQrEoWqcqVBzNEqY+XFrrnuNRLy6zy5
15REOWpvZvdM+jKACVXO0VfIpHVsP/KBxNRj2R6de7Xn4hpip4wrYdexIYbyuI2azHVIVJFc8NGh
jKahL6i+AligSxpRdPNSB1uP4J6dJ+8qSxjviSMJD6/SP8i3u3BR8GVdThuBdCniPa8h2VSgNJux
2JlZzkMDhmgJvVgVtFWtEcrEJHmY/QSdA1RA2qLwQtwM+tH5uwpWflsJwFurJsqz8N3aclIbs/Hu
la5su+em8mX+sHAHRWIW7q7oXCYgKnsi/InXWNHQQME+hsq4erp3UfGady5ToYzXDxjdyFijDOhB
AuOspPvaFOUX1gOOeXezb+lsO4g8tCBTYJ8C1eHFI7surLMuaXoT+Jqufnurr6+DQaJAtnTNYT0T
dpc9w5vYjjY8xmhuioiWWhx0s8CLnvBnzbLZIpYEp2BpAFrMl0yan1z2iStL1tOWerEG72WxUMCb
0Pk4XsAmuLNiArIOO2JQ6QjyiS6+h0i7OPQN3KullzVHBAzv5kAn2FOfWx+uhpNRD3Ta4/JjWs4I
w8KRwU9LwUNKgUUtbd1CyndpaTR7QYNYgONm20b4QjqRqGv35pfRItlvZu/Vsk1mYiJAmTmTWd12
SVcDkYXAvkUriNZYI8K0Gg7fcBUs38O3dedBRGw4D095vt35cIqiDhFitGYICdaRFVWhRJnIA1qd
C/HHRTwSgXfSS332c+PBM3yER4MminXEHzG4kpWMv11uy2roIf2Tn6u/rIJvM6zpKVdAgcPW0XGJ
lRZzr47bvP/eAH2FsCUfV6MuD3Mgvo2MUkBq3Ke9s8XexnyugswFFMkqEnsMrktAoNjU5TAIzfQz
/AKN/YsDAHrrsv3yg99Ci+A4hwx6p3CMcRmGe9TTMPyrlrGWDi8iJXa25hKui73KS5Gs2zoe1DKO
u5rVWjyN3s90UQVo4IaNoBfgfNJ4QssRbmiWVj+aYv5aUgBLgWcigB8fQ6+rd+bQco037YmRrn3n
UzLEI5khnfWLED2yJT1iU4x8WhI0zXzmiowPwebsOHEvYYNwHTb/Cqh3riJrHB/yzr0JjaGZ03WW
tWU84fO+G5SzWwyWVPRiOrbT8j0w3xWmuqs5ctbZYz3tPCOPSz0QwsRE+uLBGmFwQYBcBfhomoAX
q45kdOnwspjri2K8x5VRsOruCqbyHNAYsOMcEcW+800dEeZyxi/T3zV4WXgGAKKR+YaO1gdHCd56
OQ7bJvFvbmnkby/DyPaLbuykKc73s8e0NWB0EGOtv1qyuZYMAZ5ye/iYDTwPrQRvLh+1bn5auTwK
LeWukHjklluuTts9zjbuRcgD7Gunc2CtkK8J74jHwXzPtz2VaZixEpSD78cYi2LZ5KilhRWiTPb2
ZDeQ1pWxWwj8iYK11h7Y7i3pGtx9zDrebcZDuExRwRtb97sUN8aQfeBcN/kK/aGRNvaeFjxoYIP8
nB67Q/TSqI5ZkGbOVQcP4Wrryzzw5Fi5keDfLjCWZI/5uvbnpYACB2ArEQPaQiMI390xP7JlT+84
birksJKnkr8RfZneKSNHCa1q6ivVLRfpKESiSHrjvZmOgDpUw2u6sYdxUelxlfy0PMQXHSt/inxk
4eSjb4zwxu+KNIYLnmt9WqXczjarEYp3cq+l5DUxMvPs4k3fBitN8EBZr6EtDSS1hMWyAK/MLIyB
mmZMonxwb5AvfJ/sPjf8BEvpXqthD0IwPKGJ2E+G+r5ANn6FBfRUKRghNkwS48TAqdiXRlABP5Iu
Jv5qb1NuVLPrx4vRqIOYApItHOebV20n/7ZqBvZS41dzXs2q/QuKEZGKbOJstKjH7LZSYRRSlFwp
HdCh2bfV89yqgtTAzn1qtxBmGRXZisv3wLKBxkYNRmy6JCetO75AwG0YkyJnNqLa+6EPAJuwIzmF
Va92uZ/tlpZE2tll2FdIzM2piWOovAXCERPEExN6vxwQSIHhXTOTCmqqlbw22YaGxv0ww1KcCzN4
6sk+eoTzA0yp7s9/fgR3c9+nNvdODmMqdjJBUiPwstb8AbqZHymbwMFpc44T4X7RjB6UdfJ7Nm9s
Qm5sn83ZKxBuRti9QeJbIuvmRfWmMrtzKzwoCIfAkvl5dUdMBS6/1PH2Lht9ZY3yyr2c7UrXLpNy
Ut4DqirkI8VtsyPh36CDaNf02XOW5ihyvRz//gdDjUpCSZ+M2tuMoPURZs1DCHxBoG9j+X4Y7OFp
CsR46rzxtdL4FXDW+5es5dxEGI4l+2Zz2uZrT+bNfYmqX+b5csqA3hwGcGinDRYXqXxu3JvzF67+
H279a5Db9zaV8zEMq2MFnv+c3jTDEwiZNONuByn0IPmg3W1mdTOJBibkK8O7/PmjEvXATVAM+z9x
Q+5kvNU9XD58qq//Aadv6K4jC9b9fgja7T6vb6NIySxVqT6L3cxqn/MZa+XWtBdLsdvk1zbA72w/
3Zs5Wrql9WgSacR9ZGN8Iz9OhN78mE6ScWyaWocUrB9gzcU5rDmQhLbkrCHFKz8wr2Q7hm/wKMn4
TRwFeW1Ww6sgXZdS/IFQg/J8U3OBTLLfVI/swtgYPTvdtCtyWjfLaKxL3lFdZgZZKA0bM+E9txUR
ZK7pQNflkhpd5v0bC7A53IG2YtYLS//ASfnb1NsddvI5mcWkHlafChSnuhTc8tKjttTFepBVd0ew
9/wKhSjRngQQP/TzRTKzIk2kuCUWFMe0dMbLmHlbZE+9vWszozoMUMTAndN9artT5wqVf1QVcr4X
9fgegromL3GQ70of9WI3H7dfohU3wzlCwmkZ/Ve96AITqXoebvuB2u2RDrmaa9lH+sbNK+7GfLob
cM4AckLHpRl5Rk2ZzzuZcWihWPxl2u9r7qu7DKGjsyUMRcPdnxk7elLWA90aopOz+mTN+SsQi0Tp
6b50yi6uipwx/pSPsW1gKtUbmildz9CzG2wVyE0OPsr0RFskMhEXwHDB7ZkX+zs/6KH5zZ65kyIZ
1/mZ52xlXQ6oKQIjEe6qieafpNKrZCKYVMj6kCehpg/UudN8YHrTuxu79Uyz115pZ/vC4VgNSYPv
p1a9whL6NXpmeOfU0o+x4fEA2URL4LhbT7M/XH3XCB9bxwQPF2B4KKlQMKGYV0RqQLOzANC5P8xX
nE/00/NCmTtNVImr8TE4YXkq05rlHFPTbSqbB9tx6oeUw4thVbqnD3LOTcdgaHHgZtywTnvN5gEC
VzYX91mpf685ehlvmoOE+Mffuci945KKe6smdM7K0Ltm/jTHbguR3RwX3P8NYVcroNeEJ+Oki95+
s6fpDqjPsB80/35Xh+ZnSH9QutZM/1V0z6GP6NC3BWM0gTzUyP2j4xTpoR+b7GUrOfxqF02o42w/
ptaiB8z4VHtmc2+TTxVVU96+M4Sek7QMPknNoBzPb2x4JFWQXQYzGRxnPJq63PcIyD7qUWaIuVAK
GVvfHFvo+49IHGmRFtCTWbd9l31wLapNvdoLvYg7O7thKINTnwp5J4Ugi6M6O6MwXs3Bpm3bzG8m
4eMYhaqz2bKBW3qsIna2PqGZeGeDZe1uQQIc5v5Po1jPA8ndh7Rnrgde0ox68roP4TJ9y7J0jXub
J7w3G/4Vf+AuDFe5XzjkUSKTFuxu7ZvvlNPJNPkWfsY2zhQjLE8Z3qXd0l20+dYT6ZS560YzZ300
mQnh2cF7btkMBZHiF65/KsrOQAUYhvhwahi8lkNAQdufGjWiRmi6na7YHI7sHwomY8Ci2apzHxNY
emgV1n30ZmdMzOc/n/gpTGsWNxtGMgG5nDbow8E6e1cNiFzReTAyNYImsnw2rGPjo13FyEQWy4zq
uKW9WwhonBgBTO5SYEDHareaHVjErncYmg/L/VQPD+sQrJfBGb4CMoXyKjwJzS1o+uN4/PMQQv4n
tnAU+cHQ/FhK71FgeDdw+ed6+z08PG4nfTb1+Cw9/s7RtjxaPlrmLXzLepaeay6Apo3iLrdqgwHs
bfg5QGazwc63LKroGLWZBnf5mkAcRPY322ak5u5r8emi5rbIL+iy1motDkSgIbMu3cRpjLue/J7z
4lpmzElTR+48PQlSiqJ+42Uz3DbgkZmyXcf6zFs0+3I8IEFdVTv3TxjslBZ/rxsVAB7KI3Fg+tVd
bEXWSt6qbZ826tzCwYka9NtHRzKVZUQN5am5vWLpehE2coJ0Gfm/psGQMPMh0Bczj8WgiMHjPDHQ
/93ihz25rdVEqcC76/i8O3372c+m9SDD/GnpYBFtHkEi3ahPmTKCZJ6ZlQxqw8niXg2r96+WjaO4
Zn0XEtatY0T0uJrmPLuCnJURi8gh9gZk17dPn/Y/W88eHyY/A7zQvmE5t/ErkvS+8QRNnYS1bqSX
9WhbzZYgnSNN87Y/Xdfvxu2DPgJDL5p23GvbU/Hgh4+ZLWAp2uyFCzdUz9SWFeLvdLtrsis3Mv2t
Fiw5WoFS1NTXUquFPXm9HM1hcfadh9pkdJ6QNN6x7R8JWZiLA4roeecGm8Z0yNIS92I+hs+lyQ8A
CT02vc46VwMRMHpcsngRRXkO5uI6rY44EIP9FyMG/5RO05lY7Q3yRctIBsIMa9+AQRDDBdu4Mnjq
eFbdjqLV+E5qOI+m076DnJgjC1N+3Ku02s997SZTdSMUyrbdd7ed6GSG55nAHz5eObP7kA4JWO9f
c4cQqwGEX5GVldDAzzAZOTzSGm3m2odfmBv1xe6vU9CLU78YXxPOAm+d3jYiPZ89M31DojTcY7U1
ImWCh99Kh+ZoRDgjBnef02TFWBUZurhl+zQNSMvKALXOyIELRhcCuxJoUfI3CZmXERbSiHmzPp1K
H8JgqE5pZQeXvkNej1nxjXIDBBtDYUYxO1d9s+XWXRe+j8QPOldgRDszeGx6aqx1RfHubiR+2gZ6
5z9/ZKbZJMwW0bwvJR+c0rugEPiULOKu6FW94kJs4IOFhnM/CnRD65Z+WitgXC8ICCct3S/N+CLq
1ibC80kRwcou2hAjgBs2UNUv1IdoHShmAkGTKb4783reZqmvRm6/FKknjlvBOQx3Q/rroaVfBbVn
2+ipjc5jDkz/7/NZ4cFAeiO6bW8q/8oN+VJxTvCZmQNyaG3Sm83hhyNL+G6zFTCrsC5NSrpc2clj
atKOur2YomnLm0sKPung4pT0M4/voDFS1PlU7lptNjGnANaSUX8SWP80glnv22a8mJM3Pfrp+MsZ
Zf5tNBFY2PYYHlEGfbkZhhGArj+F2Z1K9BK7XE/hfYVMAr88Y6rhG+Sfd3rSIEqBz9OTxSFopjPI
x0tRQYVDoJ1GykMoMpQhnswmDxIm3fLTtjnbHdv4aFz9utWVg0NXbXcWwvdDy3dDRWe9vqx91iep
kidc/2VcKqNNWn0riIvlPDI9ReJNPznXx6ZbAvhkkJdU+pv4iOZNC/1X3YFf9izGFEHAjjUL9jhK
ENYL52hBLos4SiYkNKg17d225su5bYflvMwbBmmglTC1SRAJEHpQCaEJVyWAdlDtqzW8DnqiQnQ8
Pjvu+mFBS943jjrVCOdRazdooo30hYgecSW6Zon/pMc65Artc1SJyTBwXFXeC4lWn1NmZ3uSbuqo
4HVPLrxkbUI/Mu8FlW4anKotJ9ml4g4kYvsIe0SdVS7fAC0vh7wL9EXbL6NHveAF43wYtj67kG0S
c8LxrAmWtrd12W4obIIfEU8+DlOw0Wuqj9kVD/WyvWcSF2NA6ZtP77Mo7rHPMh701c5fq+eiALxP
LhVeKMZxEbxy30FgHuL/WUic7ykVBot7xFuRZU7tc88kK1nWsGalGDYxDFTG8FVLqonFlk3StDk2
4xhfYeAKhi8Gf7EFhzHtqWZ8/0I0xM+WD0d8+2FKijucAdy+dsNP2QeRbYcvmERexom0A0ZWtirR
Rc82UU1z+9HU/oPSOJKRl6p4zsP+KGbdQCxJt2iAbbw5xfgCt+ke6L92b1WuvM7d3MeV148IRP3q
mBpk4ILd10irEE4RKP67HpZ63+QKUkk6n2aV39HDpffZOBkR/FsOn6w6Yzr+6klsjdqJAaPMs/ul
uNHGTetxBBrarQwKe+9iVv6PqXA/2/w0rFVwyBXKi2lYNvIfzftqnFlcCF+f5PaVeWwbQEu8OQsN
1dAuT+GakagaLPdYCBNBzbEvWjsgyByiG2T+SdzakwVLZkd5Rcm3IsoZlf/SjOmnJ0XAjxWyV1+L
L2PKXnyGQxHu/nY/4WjCvfrYkbe7E7MNE7WzqbEYGylZ1rFrci8zQc73UpKlQN0bYD/iXOzS1n9i
fouxwn40Bu4CqkmfCoNnSwfEX2RdELOjpQah6d0Ekxh+QdT58Qy/XRKq4s9x0WWXHNXbv/Ef3UoX
40b0398QCT46Mm+jzGOF2cEgcNVp4dEN5T0m5at8PgT2itZpe2xbdQbQB3j8rO5qI7vFI1sPetl+
iMr6IL3knfSzpA/mu6kRJ1P/dnJ5IFrm1dbVK2S6Nf4302FCOjRYqYLMZ5HHzLjvvZfQJm6mLl9L
FoWidu/nVLd/aw3/v1XHIxj+P4vj//t/k9OvcfxVfOX/II7ni/7Wxlv+v1seu0rMz9iwXe9Gm/zb
hxr+O6ZUELfoKHyEFDS2/9uHitnUtHzTDW3hWb4V+Ggw/pcP1ft328f8Y9p8sAT1tf3/oo3nIPln
ia5AEM/3QLrNQoaNm/2Pco4yK6Y80Kpkl12RKW22zb6/aToMepaOkvqiVLkL3A+Br29Kt+2UbQyq
XcXdy+Pued6xozc54DKnveEO2Xj4bebRB+c21agDEHs88b4vAfD7Vh5bTEkjW7snEjmIYvSep7kI
ks4V77Nbv1JHstMT6N9y5gzrxIZtbec9IL1oXmFqhHbxtDjNk9KIYTLBI14V892WrT/SYJpisaJv
Q9L1HemHjuQ6lDF7OwuoXIPG1g9G6ihQSqrpKxaJrXtQ1ZuR4rsdMmsvuvmjbjgHxyX8HQhs8qyv
ptPUPbTOFDdea90H8GojAgpPbpGGUWiPSLD6co02h61s60/QukymPWF4zq2ZQNnsTe5YcBTPtL0Y
3R7yBn9AH3r4xvIcB9/AHHaCIt3r59rcrmRh3jNmfidlBfdAVn1a+cKLNX063DY7Y9li1yvTpHJp
cmqrRAxtMNoePcYO5ovKALv4G1KmKhuSJk2ZlC9hEgAucns/iA2bnmcyEd8buckAnYNtGqfb8gfs
vbtyS3urTll+ezKhXL4j96o7iQljHjPNyJqLlkVclZTorlk0wpdfgjXjgEkPzkbfhz8Jp9fEkgWG
8tNiNvh9bH1HJW8lzfRXyyg0Zkr5mzzgLbIUDQRGPTcZ6esjz+7Enc+ggfqkDBJQlF9FgUZzq5oS
u5aVsHclWhOtVjyOrAlrQ+qdjbm+ZJW4LEKj1DbfSIGfk6pA+Jh21tGS6JAwrRB1OW2IL71MHxbJ
9MwMwuMo+JdAxQltLHtnKxvSFk7d5OC5W26I1BJPEjom6AZzqO6tvHxVafiMv+7Zzyc/rruo8jju
XXTlR/zPmcBksfg0KAYkY3/zAfNk/lMg2nBv6/Tc2cCiJc76iOQq6q8pDBOau6RsWN50JMTsAq/6
lQpWklaGV0LmBTZIC6F5W5BkNnHnTkiH9ga/fTROiwuPf3w0bbXuV1GhJSccHCtZ+L2pXTbR82S9
hbr8IPpii2d0LDtmahrsJJJiVEW2Gqi3xnyfWk7N2m7FppUt8RxO9g1XsLB+X7wE25kzRELoLIFp
Wa11+C0vDBnP5Y3yf7NR40iOSB3iuhyrbs+DQ8bZUCYLa6NkIGBHBQsQMFOFkcJuZgQbGZ1zsCYD
JjwMvMgGGGHkpcx5cuQrWrpoFtPTPAfBwcLEPVm1TMbC/hKi5Yb0FpBUZXXUg7kDRhGjz/bASis8
+KsBJTalFOmotKO50LvOJN9ATmt6CXuG/4ZAQUNYfdQbZDLLFeeMqPACDWhCQWsD0+qflR7zD8+s
3krePiRdBGWMZvGEObHjCcyIdtAodIaOr/CqewLyjirz66ifXQiEhD4zgwg6pgv2odKzwOBIUBmj
hANsUAEhrickjy0J5iEagTatPmVt/cjDhkxau/kLYhGV/pTjmCuLlbfCEIkdnktyXnZoqi3wkeM5
D1A3q8V82MbheRkCOzZzHHhkQV+H8mOEiVWNZKL0Iv+LDdJlGYCq6J6Pa4Nkx3VJ5yLe/RVBJOZ2
joYoHWwirAPv3moctDDkwQeTWpM2rOhDi/Ld6eyUW4HHKAjo/7aq/JGWU30WbAEs+vBh7e8LgSav
TI1Lt2x7fsn1JIi8KNU+JKgbEirqEGukIg6npT9wLXzUaDuipaIoCtMxaW31Y04DVm/C96Ogy8jg
0GeL8UEszfyZoZINIZJs2hTBq9szau8hgwsvXgqD7nAs9nJph6Qb0FvmJJRBB5zFWaW0eQFKDpND
Orh5k0A6P7q3RGrYuiQ/FXaJrzw/e3nuHn3GK/+Do/NqchRJo+gvIgIyScyrBPIq212mX4jqrim8
Nwn8+j3s68zOhkqgzM/cey4nkIVXpsH+YLt0N6z+kEy7/NZals4NK0iF3q8Ox46peIH/nn9j3UvQ
8IFXTOndKh87h0mG4QEWWSxkbJ68eIZtH01agH2KM12oon9LnXfVobUpCrarbM7P05AfoRsMh2GJ
by0a5UBk9oDwCfGNVC/11P6YLYrUlHZilxcmcAUap9JnzjIbeAz8hXxejtJsOFqNIjiDTTVPcHxi
nrO9WVs+ubrQzi77qlsemd/FgVAZOtFux9Kb6n99iN1IvWro1DnEoyFbeF2FKMHdzyGcHMU7VBA3
SqopajLeGkyWO7dgiNZKeRTKQGhjMsv0d4M1/JHxzHRncTGzYHbf1bJEfDl6dKnyZ4A5RB1sfSZ5
qgPJ4p4W5znt1tDC0Rn4MoswFOvjVlGDcoLSG1Psl6T77FSPDGiaPlI2BkE+sVWVqSrRoJAoFGUY
zLJkM5CYCQKtgFJkIMYi8wh7NKE+f+pxPrPEPVm14R9LgDP96GFPGOHZAitOUfWSOlRAXGcXRYfB
W5Ck6UtSo7BdjAmNlpVsQkNIwnEfMMgn5NrltfbQ2Vn9Mzsl3yDPi3Tjp7jNUGDXgVWOv+0mMg4y
yY8ObHapejOIWmYiTJ7bXTK15QFkHaa5fL4sYJpc3/1NlUWR/r5EPgGFPIGEOqIxcdQllktlpr6k
wnLmReOX25sFLftt9tz+NNvGSbcoXVPvTOZdCBvga0rErSde+wkl0m1g/L10GaS1KeU/yxngT4Mb
5rB9ZF09ICBHMjhY1yrlDGCbzNU4MDODD0YjHHEm2WgPGM9k+2V+nMU47ssBLdyUBTnnYLAgnzoR
23GYtPOUtwwmhpQluFzw8yb0rDwJdPZ0ORUmmm62QJjFhbfXtN6QdyGJEA1JqeRkp8j13sx3jxSp
06S1d/KBCZEdDdcvRSEVY00hMfKtY/N2yMiEDnW0fFLDAPBkLYdNP31fqYH6/+tmoioDZ84Hx1lN
8Vj9iGl6jeniDkIuv82+70JtxuYuB+uZDSus65mHY+qPVZdeCNIDWVLbDPdFLwsiPvSmNoTQ27rh
RcSwgn91EUmqdqO38rvUNk5ARkfONqaN7+QMXLsCaRMBp3tch80hRx5OvUHS2JIgmDUMezoWDqul
ucSKZNdJUGa9g7gc8a9jkzzeL0BC4Gs7gv1Ign4OO4L0X6KIOJdNN2lXMVt28/dgvkH0IMrZPfvE
ah4yXbAItftdxcbyPFsZu21GEUXlqIvF/nC31ChIeyr4pvN86kgDE7xvCW5f1w2K6Vg1rnlkavPm
x/rbINeCVnE6JI51JOanPCdOwQWyVvKaGd28ax0izIXdYKQbNs5veST16FAeAb8sj33UP8Yk1CP8
JQS6D7ALFed+7P6LG49VYDPuHAJ2kYl9lURLntw+ehWJjqAqkIJnOvCgI0UgPXIDg6F4M1ZPZNfZ
0DasOpDrSrFRsYcucGUV73UVGVSnpO9uoiBMTNORjLGD6zMEttlF8tIS9J3tZYq+yCMHLpB9uynb
Ejia7JXoDCyOt7KcT56dMpxElcrljkLbvSaakyMyuPytuBeXwrSPXp7uB2oyyFsVsnzkeXnWJXux
CY/QQhq0MdB+Pbf7l9spMQvrqh/xPOxSh/EYJpRdid7sVPRFQ6DmdTHlVhAbbNkdyVni1Bdbkw+Y
NZex0/FZ++PJEAQ0dS6x0ebAl5bMHqyLMkNK5WV7PSUftXl2ym280ddAkqvuh3kS9BaMD2c0+4h4
Z/GjGFcyH67ZM4P5dcj9YqBobl4BIOVsE0mMHXbADKpwcpcPcyr1LsIl4o71o9FDUyfi7he+Z4ah
GvNGumSXYfsW/CS9WGnkXnO7xhddHXQr/w0G4kXhLQH8vJzS139nYfc3b7kNNXHy7cxOo4x+tjq7
a4efokLCNbPv3KlaFEGdCBW4/mmU0UzesagOysswsTWYojTLQqPmO7C9N9Fq8t0j5+IuMfMdnFCc
d68LjK+wtCH+LAhTc+MHDNVG5T9n9AcOGc1H2cgHt7y2y7wcvfJGqATGJ9bufJ0kCleY/zrBtyTt
L4MOOXR87+xmsX3otf0oyvhFApiJkeuAo9BfKKp/vGg+5ukMsrBjhwIZytqNNRV4VTeaVgtnoqQe
RPyRIDYp5c4xEM23SDplsv4pJuNk2UYRLiOJa6ydc521Z8xJ0TFr+JV1EaozrHeDzmAp3qd8BDTd
4eseMLr6GGlJV2lfekqfIB4aIjykd9IC/7fjcgV3Y7UzP2Xp8Glks24TW8gvrvpvRjVxskqcD8rS
7kFod2GGjTXWaeDik9g3nKcSG/fSmC+j5euroq2NMTuw1Wj2UVmt5znOvjtTrDtXiymE+MBoezE+
PJU8FtnIUdrZXEVAmssJc1o8PHeoS0+RZ9+ART/Evjs+EmIURJZpMLKPkMb94jT0g4oQyf2yKspP
NL9hDpM1RF4Y6En/juaswlKIAr9yOpq3DjsKgmMiZSczv3aOshnrzd94eeqjM7GkH1R+LZvhIKZ4
euqp8B/b6ZcVqx2kXeOX5oUijRh4DbPaf6OLmNS2nvrO3qkH3F3zRRoRjzWuyW12cW4skX6RhEh4
Q/1PdimezJYzZeQ4iya4J2saokx57Qp+PFA+/tVuR1VQ/DbWgfOmH98oY3IU4FQOQP6TwNniliXg
sZ09u9sF7511hm7dWOdHEkOCOiWOyrPll0GbIaEKqaQ5ZbZl7CKzPHQFD7UENG6QxjMqxPbWorkS
VXGRrI9BY432vo6j7CrQXq42nRWB1Iws6F0N1V9mUTWX2K6a4zwizSZ4nupWivFI3fbqRP7AFLtl
YCCNsLPyT0s6DV47Emez9JehbXmKB/kqagBNxAQFiNTKcCjyS88pcTLm/pKYjXVHiklQofEQ32Hh
8HEqImnMxr+lM8NU3bnWAQU8gfD80AfEAqt1Jybx0LDFAP7k9/+H+rQp8+mVZ870qD2DJUsiDPPZ
dRGJCEnJPTkJThXWD0VoK80SaHsoTormjjHUdlhTw3vk9VF+o2hN82af6OZuNt1VDs5jBrBgz7Qa
0yNGnMy10ArWiC1jLJw7282QLsyEelNxkZq2UBTLm+14N5mJN3+hkloY2XQjtfjUOnQHmc+2dTz3
2wLfYce87ZlXZQE1WuE5pDViKQFmsnHi0CKO/DKOGFFJkdmpjgjKlfsOz5fc4xllTzrD+SF1Y2/q
7gOVZLxr8JmfvGlfmHF0nr2DoTCw+NE9drD9GMMdMKzFb41VaFwPR9stH4pluqu0PRfT/FDq7dS3
V5jBA0ruKYs+4pRHnEZkn016OUvXrJA6GlcAY19jMd7Xfun37TxfxoKPDAApYdzJ0Ll7L891ZEDe
Nbz/UCXumjRG6kejt8fusEMCg/CksWKSixj/KR99J9G3O3AXqFoR2LtVGu/bnsWhM/0e1wf6xVPv
lUZgr0iDzcl9dtL50nNcBcWmBl87BBAUwPvFpBJ2rVmEKp6DLoEk1PrZzFiNPy3iMjeIFt2xxn8Z
EMuzVKn+5rg58AGx08lz67V6ziSvU+1mf/wNaWeYz3Xlseq0J+YRkfc5xRXLWu64aOl0SJOIYYF8
u7XrcBIn+SHyXZ6TTyqcOms5/vHG5ITv+LdDG0Klll6y2iJ6pwzSdcueL3Uw9vxiNVd8buFvsWRN
dyi/SxopepN0HT6YF2EZJy/ZzOYLH++QmYjRwenRFc9/PQxq3B5OqAbFfJR3iUZrFxmFCKqJkzcB
lY02nfhThQBE5Y+8r35QbuEwo7NPjFEceyP7QGX1syDK3o1G8V1G6ftotuSteuqHkLiLwfhtzqyP
3M83NR2i5t5ApIlAJgrmxnNpPSNMwiPu/WLdxCtXr0FMHE/tA6BjMhTtSh88p0+OeOndXcEFa45o
UZc8f3HjGcHWGl9kzrzQb5rp0aQ6XmeS1oyiQ5wqW4SC1CcZkdXuYNkvo4u30qOTa1qEoBMRY8jo
zWjXeRH1uE3CSoHDzjO/iJrfohN5JXOWUUSD2ab45RqAkMFb0RbbCHMGyOWFJ/AOwzIzFmyToPrO
6O6uavKfi5pcAdvX//InUVTVh6SocpIXyTgqaMijDNqkfB0R01HfYzZeojdbczIAoTwbVb6wbCUe
ySeCYN/HzRpWPWnTTf8eW9kz2RhToD2vPmDVOqPIY9fSR+RKodZnysfSayqqS6T8P+PK/2Yd/5nI
B8UURRdjXyHMYOO4/Tyd5Nt1q9fJWP/aoyRdC57zVCaXMXlrnZspI9JOWyPawRfg7OrV3fR/5iIF
kWiIj4b97xYBwyvf4s4YePc8vZdiMvbjTOo5L9XNZdRqZBxziKHAomRIRZIGi+uAcS4ydL8ruzO/
YpTuhvfJx+mOPPxAWAgTIgp1Gfuha1tnmTvfmI+NBCkZ1A1mf5sJsdpUGa7W1yHm80kLwKudlYHZ
8jaTBvBvrTmQUlJ39il2YGqI7zxem73fyhcrduyd3Yw/bUk1qQWL4tQlo6NaLua8tkeL1Cyyfysb
6JTi/zGD/agMqLTyHrv5dWgKixKP5XYsw8mbimOrJ0pFcgvSnEPATUz9XHSduPArR2hZ2x8e44UH
qNa3IbXnHROdMWTxm1uMBns1tZdybIN+cDAq1NVzmWvQtu0fhxm98dZuCXYaeSkBA6e+qndr+jQZ
Q8pJFT1kUfY7LhmjFlESSD4EM/CPGCBc4np/3Xb5jGcSK8s8+k1kxjQoynczncJCpbdySJ97jAHh
JPBnkZ97rzBQmoxz94PHaUyRx69Vi79d81+USKYrA7uC0jS2yUkwquR3NtbRTujc3kfd54jZaE+O
UBCXPcNpCactnhArWmSBNYP5zV59X9rCQn6dPtXkLRuA7ibzJenIRIzq997GVjmhStmvThwg2D6h
FYrPDVrtttJcDhUi3rJj4zNU+oqcw/hl4wQOSlVIns6FGfOvgk9ZjIt76LMWmkHS/ylnRf/g+jl2
Vzqb0rpobIPXRUcXrlNOBg1MJE9xdeRWYC7d+2RW1qXDKGtaIn0m0uFZ5ehqqu35gnjl8JsfGFCs
YO3KIhAO8vM0uefSeBH4VZlNJOZeMTya8xoNlHr2XucaNSbTtS/PsOhTlj8qW64lh44C3qzYOMNz
jvn+XzVsjHaVT4WlTw0WrpJKVI5g4Bjd1DkW5dppH/okSP34v+38WdmsY28iyR0XwGbwYO5yVlZ3
FdxZlvQf61z8dYz1F7ieMpisARn8cFC9isM+BRE3PSBzOKi8PBrLVL8OBBFt/P8JBtxDkZw0Nk8w
yww8zPKn8JZ8zzzhlhL6tTmbilvq8afq4eQ1pfnort5nNPleGGuMJJj9+lPG/SGYprxW5IKsTNaO
GCsMh2/eAPVAzDtaw8WHyTrqIMkQgpCQtLyMNfOpmOKmZfC7Q87NZODad151najV52xFHsfGOmP9
pzd/TG4iVYlM98Wr7JcOaFtYiOGpZUh+KTblxVj21TFx1we/TFwG6+6nMOfxjp/o2CkSmCoCWkqP
hcjUZ58a20+rjhwscQBMSl5Lj8dkLr+6LZQSYg6D3WmMgp4vox/Nk6OT16hFGuR36hHjV7jC6rmN
9vg096MDwBqfbU/edETC5jH+ZOIPn6COmCGyaxjz+W9itz+1JUxQN/MJZ++71+E1beR/0AixIVZ8
/taK9+uYIBkuCLVcyYxjJ08U+fDp9s0916UMi3j+Q87sbXU1hYrRPIqsPDHTsJh4srXrbDjAllhO
XpJDA6nnx75nUFMqfWwsAnHKTJEX1+a/5spPnpqZIwbRJ4aNjCGhCfGWge5LS3DASNalQuyzBwES
07SxgHV8PNklLLKkU2GSRgG7UdtjAI5N1NsXvh12i0euRrOtV+VJmypm6/TbLoyvhZWHNZb/GZF7
xjV9Kua9rVhxHBHg6l0pqama4sM4y7aNw3x0gRh6iKXLCaNvy/s6se36+wo0Ag5kTi1XS5TgBWCw
isQDwKNbbWT73JMz4HhKSs31FnAZPaEGKfjOavmZjTd3jEOVjOUz2pMKOQz/bczil7Q6DUklubuL
81KMMJ/qIebi3jT7IzhGtNHMJS3jhxyDL99cSDgjWyApap/xXd7ebAL6aKns35hgHEYzmXeyy1Tu
2wTHhHTEP2yTU5gWizgacQ3Uwp37R8t0We+lGYGilhfiRqdi63sNaLjBx9MMAbLYgk/ZOGxoV92C
flH5l0/9jjHnSJL3HM4M5ccp/ZqUg0aE25vWIHsXjNZ3GjslvSAp9GiF4Sya/5baPTYZpoa+k+Se
1erWqrTizVcltNb6XvItnu1UngbltxCb+Eu4q4zAiLZxArm3Xm6eElSvJyTBqFbdQwsr5SHygKN7
0S9Lee8qbm9WBxmnE9kj+7PdOMbly6DMh7LjNOlmFLwj6UMeYTQB49qvytFA9G30/HbyWPJMQ+xn
Gavk+KMdyClpI9wsvnG2VfxQInLD8NwDsWP0m5Jc4oym+tQWb3A3Ci7kHIJ0Xnzx23EDMXKlaEs+
oy/4tusWHqaqHhM+FnbaMBWiu1Tjyi/cuflJT7yJUfGC/4l1yZRKsiKI8M1W5LOFXptyMOmYaYGV
vqLT6PfktvCajQ2g63rk5gEoqgr7DF8ANzbibuImWFe8+wO60WRm5OYSGM0SjbF3C1VklxibKbxi
WJuUdQlNYdiWHZRJ3NKoiTpYmWyizQOH/smy5E30c/9cJsl//nOXPPrx9KtK6S/MPPvDbwGSqZu+
AiKLdis0tOOsng1l0L/wjkoLt7opFi6uyXyfPDIU+plhaMz2wE5Sn+6hLtiw984zZYiF/QI0d/6x
JOBUaN7nYJErcVeV++j44oNdoh8OFknwRfoyqmwMx9FkvAQmAMIPUQwNdstJxgVNawNDIInkk++3
J282PkmcYU7P1movKhNBfp88m0ywn1JNsZcjTsarltPbJj+pXv8MEUoS7ck/jijHG8ZYiru4+prG
FXLD3LE1WlFKMBHp8eslwczXG6/tv9X30hMMiFtqNGCeJXDRpJEfPm9GbxdvSUcjmvqwxNPG7XG5
2QXnb2DYHit5dzQD7dAdGCb76Cqdd1kSf8r6PHqMKohVJ0elTxUj4ybZXBnLoTTa74qY6SCzW0g6
NpmrSKoZ6SWbntyp8FTg0WccFd0Ed9c65aGbMhkwWU0XdZNcPaoY3+6jEP8WgPDFIn1ynam6ljh0
5yGwMxpPt3UOXvFJrJ15LjBKHMe8ee0iUEMddjSI0P4O9ok6JczMdm0PQysRyy+ZWdaez1cWTguu
/F8Xj79AtlpHKp064FmACqlwlEEIee0dqux+MkJMJMxwu4IUchBAu7xknmcqVV48p+6CZmYHXmAV
WzvGjq12wnkpHHbwSR2iT2HIsZPR8N2X9Q62Xc18hMKqAVQX5iQGBu3A2N2JTOZGXkeIRFYgYMYe
IGa26urICpNThRxmJCXp69KO65GIkiPNIElE0P+mMjQ7Jw9sO74u6nkcSoJPOoDPXYV91BhWG/xb
tSLLxKMj/NE8FHG8Hiy/vwCCtY6zZSDdLiEL6+rfTMom7e5C4ryNlLEf4y5MFCvxpTIuRI3mh9pD
ZiOLTRkBAJo/kua6qpp/uI7hw9i4MZxNUDTh4hXaPlhIFna9hS9n2HaPm2ctsqmA3ZL3ExBVT/pE
E6NEiGzrXedQbxv0CAds/cUe2xaJf/l/g2Ppi7Xa237vL2FUXMz1+lyz4tnpQVn3OV+efdBVu+ma
zMWVEhgBQeq8pL78b4pyjz2WRWTGpVoz8skKAyj/pkMYsPFt0/ny0avcbwQ986GK3lPD4FsbjYvX
YJKqFsjpeH2Grvcug2BkLCcyn/LYR1CczGj6cRPiG0CGWYKc7KiKZkyLLMa+psxg/l/m7J5d5g0j
FvBmW5DHjQt1h3SQ0uXMaZe/fg1w0iKAzNiKkkLPt7Uy/q0VceCupPJK0I0hbRZ0lcYDj6C9whiz
edP8hO8e09tlyQnanCzO5Mqyw76NvkgxyADC3DWLMiB3LGfzcoGyP79P7jCFwi9PSQMks85w/s/C
HEMxz8jlCzke/cFqdmzyAKnVz52dzMzv6suq7PQ4F5tmZEKo02Su2E+YvNO5PPAeHSbMGyHbIfTR
sn9PuA0CL8rYckqZPZf3er8YdvOqVgbABJ4x52C+jBXonLusw9liyrQwGMM7H3HJlrNoOjQAa3Yi
hh5CGEA2ZGn4jubxy2dzQ6YBIAI2XuXZj6mrevgci0+2dKObKmwFM+0XP+r717rFBGnckjW52WO2
hg16srh5XDxCaaEw/zCzaiHQNEyDJYV2nolDtkTfGDUEN73+nScNkyIUHy1rkalZKV08tudZvvBw
clqIJPkQjuqubsGNb+WUyQxpBoXVhw5/uAKLCJfpzSqiAQ0vhbU384rDRldn9BEX94iknnIsXnlJ
U48B8eC99E73Ii1sBbmLFJ67NbRR1zAJdDmnDm1inLqs8+9+zYDSQVuVxM2zBrt3GCwmPXQKTFjq
7MmPjIWAVoTRqctWULKFNGo7DlsDVy97VdJr/LgKmyWM0U0A8XC7oAtTRBUvsL+pcG3rLhzj4LIv
309rBlEx5TEj9DumrnieUo2NhmuOm2S5WhxAVt1CgFvvcSfL/TLi9FeJath2FC+tUE7gtaTsimo5
JlUSmnl5S2atHtAY2lWl97owX/Xo6xt71DO6ymE3Olm7B9PKGitb76vAwMtVN+1dDr7FoK6OBh32
g3nJ7eEa15QPKCq2NWU2hZ4VITqhv3JLg7di+wnZFhM1Q5G3HCXpX7903yLdNzhXcGkoo76acfHa
NPHPMoImBAcrwsxq3H00oiLhwXqR0H9Qaf0zjO7LbvmSzQoPRpzDlkJo94Xm+TzbiQxF3KAMVP/1
kvSPuRb93oiKZzIrEd7zEkFMzpjk23d3/iF8mGCAmRgCdwByXNbtcugyTAzzptleEz9hToP5Zq4f
o4IoLsfj4Wf1qVjKl2UietaHqaizv7Pdw/dI019Njy6UenXPuTEF0pkurUre0ryPrnn2gJ+YstfJ
pqCwooPIHPtBsFbZxSK1rtokhaHvJxUicvhDXmHABnfapbU/7wkQu3iRg1zOyUEmWEy7Guwojt1x
8zrNb9HSv1eleh278UR8NxBAL2UdK/H25Tg59+PYXeLy4PhN9TBFoJrQjzXHBPcr0CvI8znPgKRQ
cc1bjLuNIy+Z+dylPE1W0MyIgIkcE6e/tsJA9saHDCLizgKWA9y+ft6jiGCry9Q+PmSpDQSAYjVz
lvw6cvtNNmK6aEAx3iQASHDdcY6Y/LMVLaxJCRko0JxBPXxN2nrwFTP+pJIn4ZDiMTmM9mwN/6Qk
5aoiOMZxYHLWRJXpFP3QCCFscZrQ8FbrlkHhGx1cX5j72UinitZPEjeWSUTj3sZUl59OW1wUGmCk
X0BNTSM0IRiYlR1dsD8FrnOw42PrDK+Mbqt3YTFHRmXZw8849/n4itjxILyoRNzkvPMG9PskX7/9
dH7Cqvndujm7B9NMACBfG85d6CZ7UsULU7snVDIm9YG+Zw3QfyOhSxQs6ix7zUGMle86JfzFW9mU
o5xHfckWesg3qhGmdoMUHU8+wuoDJ2Kn8LpZtngjw/GiOkVx9jeDccxo1MadRLp4kllkqeVkcYsm
WBvXP6eawefsc99XCSmsWG/EvmMiBCWthWu/NQtjllGqsktysKeEdYc82fWgG8EXeRZIzEiKac/u
0pwWfg8ny1s4PrCwDPJhami90W1sSy33K+9qarAVvQJLXnrp0vzrUCgZpMyZxlrvGz8lV67U16R7
KZg7qx7f9rAm3o6J2Sm28NkaxM1RpsTo/JzMPwKY8pZEgcbzntxG3Jd25t227Pa2Glm4qHtUrE9t
0RDThkkIKS19NXIGkm9ikuMSOeKLX34XHiE9EzUaF67IcalsUonU/WrygaeAaUgz9ybdq1U0lUIH
fcOednDqG1gXPCVtn4fgbed4/oRj+FrUxnRUFnJvQusx9evpMHCnZ3RjR9cinRBx7a5vyui+rVld
CKnYHnFyUXbP23VWG9X4q9m2kcr3d9rKuoDy71lxfwcmI2hWDyl808R4qFDtneSEoE8Vf4d8K0md
edgT4ZPtE8q4PYmjK0uoYcXmyw+L9XFAqhzjPPNkdNMzHMKf7V8UWTaf8mn8bxYz/CTQJ5dE6Dd/
RR2ypviiqlweV0z7uyZHysTvO/BIyvO8cm/V8j+ktCve4BnBjEu2CCUC8+rqzPYREZ1dDPBYUAV5
if/AfHwPpjAn50SirWf16ADu6dajdNLpw8qIwOC8Ia1pgRYcWTdM6SAJS3vZ5ViatklZwWRL3tOa
v8NjkVEVgWGy+MRc3hwg9iB7isw3LHsAJjfqUzxXZ2Jo6VSVsA+T4NeSNvG98PrioIGQRCkK1zWO
5b63xZXpeo0iVGxJMDCqKJupL/uHJsZXi9Ij4sa/5HN2tT3nNe5MPHcOAVEsB6IMB7rjjucEcekJ
7Qd/HPiGjZZqBRCAjxTOLirK4ju1jgWZeOdhtg/EZSGvXef56FVkvfnjDrwzmGlpGgfTtWDSTuZR
ZsMvIsA5KGCDNWgVcQTjOJwqdhPU5RwQLe4gsyefbhQnt1WXTAGrkxSgm19VBAm7KIgDxaGbhlcM
eAB90P8fpMI15uEMqNsuO/ZwrtFgnWIaODymHBELYUedBeWOZe2/vHLacyvityKtuueIv05N+N+Y
Iu9FbrLK8/wvEZkiaIyJS8Aq+wupOeFSsZ+ckFoc8CvWuRvfeH2fK5UL+niHqMXFPwDdECfcwVgp
nOJf5DOLpBcnV9xx2jvlLFIIvE6DljmG6YztjE+zATAiPkSrHQxIrVs2MqRkvNhT+WcYCnFUccUm
33geeYIBss91T/MCMAK+muOd0oLOFsAgRIWphtlVbqShCOVISV4eGrLOPZfR1GxJlDhDIyM5xjLl
LHfjA/QnWORl8cIlVoSNM8Enbc4AzS4JDOthzojjsTSiHY+rrIXtIRnt7ubMdAJBmO6Q0pSgjFi4
S+ZDzdYEX5q1a5R4tuwaCwJpSCy930c0U64/3iWhXsFWSDN6d97HTR6wdueZ2Hl76l2EG7DT2VeQ
c9kD5Y1Mdi8aTCWy3E/6jG+zaADzuShlTfE7qlhCpyXQ0bxeA38c2UQnqAy4RKgI7GbYHOoOeOZ6
OekY+eBsIiumgbzphk0UuzvjIqvcZQDqv1ZGh9cUvmxeW3wk/Y3gGUEYJLfFY2jKSKjq64NYBO6W
XF+1VE+NUYWFy3B3Eb8k+pmd1c/WgztQGbogkqmqugrRIwzpZZP4EFT+1KE8hrDDb8lh4lEqTqYB
2WWc6T9D3nGWShRc6HzB2YN/kIb9lDVkTcxCMQWIJAdV1b+a1fjeqX95kjC+wLoOguIr90CILBaw
9ry/pb7fQfWZGWPFy92a478Wye9RnWDCF1B3PPJ0tTGenX4Gg7IQDRz58CTrnFnNmnNt1kTUBLlA
FZ5bHAWlIz5HbI6QHtFR11JxlvwBwcEqDacB6j0Et8MKJdHzInSkAZ7lNoAYNAOoENdu/T1KDCVG
lHSMoh/04JUHnB4PFpjkw1h5/2V6TI6eoI0mj3RhbOKTwmAA7dGsvljAD4Gsv42FmHbbbMB4MTBk
mruKQBUk4y0F5JR0jh4XKZsTqyHV9W9US+LEGRixS0Rcz/Usu34irbIxuOUKevU0TGIkmUBKf4lx
8xvJmVWZFs2+Tqd/DLFgbCa4ZixA5m1NJmycmqj5v4q1cJ51VULYWzVXCaPdccz/rgZmTfYtn2p+
NhNbnBl+Y4vhsuVKufKGNY8MT9+gQn8IIR5Tr/1MyzZ/zR1/2C38xgDZsBS13mONBYugkJCMuoNo
QPinhLQfdIZ+HEwKU8pez3cah4S2NU2duxuZgAPLsj3OaT0Fios7UuUZVBDAzjg75YjEZ93zVudu
FSrmlAAV/OREf1YdfJohpuoVL2QzPBglBZllLmjRvBZEUyRToEnzSH/jxnvmnQxgp17wgwcWUzh8
u5XeYo6QvuMamY/9NuLw4dQc4kWqgP6Et6oQCPtsvem40QHPbu8GtMIEsqm/TmE7oQEECMQ1S7IW
zsLOUuZwrowKYgmT89y26RVbRTM65wGyBQZh7fodddKiqQQhY/jm0RqKR7vI4SGlZncHTxEnhEmo
Fa8P6PMS16Qdbb8PD+SYo6vmREIMcaUiBjuBb4nkmPqgMem36V+RAPHtx5RpgOozyP7luLfBlyBI
qh7iiPw1laOTGt1bPUuwFRlL3CnS7Jna41TS3Cc+QVbC7/yz1suBvSa/pnkqcLtnP56BHnEaVX5T
axtdbV5VzLuPQ+e+t8JtwtZp0wNpknR2PS9OlmVvUYw3ypnTV+4U/gnq/QGEIqYbuaFrE6aZjrsf
GrUX/dhe5aPFgGm/GX80GN8TjNB8Z9evXuuREbKW34qXVIGoDyrA7bv5cVms4ikmZbn6H3dXs5w6
doRfRZVVsrAjCYFQVTJVNsa/4HiM701lNq4DnIFjCwn0YxtSqcprZJ1VFtnlDe6b5EnyHWHdUUtc
Y6yesTNTqanYZpqjVv+d7q+7b20Ayqw7jGdVVxiO18R9xvsh3vMvPW/aOoQp0DvvPmNq29WTj5Wt
ExcdA1jbPXIUmkrubt3B7d7idNXCMh7z0Wx0vJXnd59uMQLfn8CrO23Ac5dmc2zCez8+IlOwXMC9
OOYMHMPYaKT0JxgmPcaQouMowQAMHyWYE4Tj4cq57cONrUIvPb91ADL0lwvdawEgr2n2PD1pEpe4
BYxGeIy0ZHQ+96bYgoerOmCiABtjTOzRLEXT70KPYmhjG5a3QF51GgLFniyfrFMfg9OfgsA7D/bG
2K2HWTMPqEW79w/BNXa1oUt7gXD+von+Au8BE/08/zRYYmgXEEdYyGLfmKuzyHe/n2EY8RHWxHTu
9h4xogiv2Pawq/IJKDn0wqDaD6jjaXL3uAfX9YBY8Slc9iYPqAcGegdehLWXtxFGpy3MdA8OeLG4
sPYwWEbXU+9izHNL0WJ26t0Gx9P7GcZDhknPR3X21F7ejiZ3rQ7wUiiqNp7GkwWGxASrR0BzG0CL
t540uj0Cqt50J1gtGsbYg7Fqoij28NCPmv7kCDOQQ+g0WrnaC7NvY1sRAvBPk0hdzedA3ZrIUnWS
hav7SKZIH6fh1ULN+g6mqMErBHdAMbgndjiY3ZnLo2Vr76IFqBiauBBDPQHW8BR50x7uaIhQJxiT
nMwdt5OaISZSgXbWsLtTP/JNOMP/yltxySLdd1uwW9jFi/ZHNAkW1u+utwA/79/Nls3ehG/7UL7M
Vi/yrRJ63cpePV+ftEpnhLLjvkTAxwCAJB1jqS8Wf7Ucy/TMhtcwEWHrRWJ+GEye/+zst1qWiVHj
7XbTAkCogT/j+woMqp68uqb4bZ956QFk9lr00uJ2uVl8Vw44rf2W3XAx1N0x0Qbs6g3EBQ7Y+w5m
7zcBPnUxGMyx0Bf+sRhgme2aMuA09y2A87A0Ctd/gJp173uBA1Zr37HbVsPxLLRg22hM+WgswLa6
mlpg7Zvo/G/rd2w3Wvh/lAPmfqNtYqBA27OdZgvVu4/GAasuBxx3v4m12Bge1mqabTd7yUUZcLSI
eO02pMCzoBEfTgYsd22a4EGKxnkXU2jv2y3PbGETudVqmBg0S4Sgud+ytJqYDcdtek37A1oCq7Yl
wIZIG9bObDswB02rSb2BZWOyhombXgMDMfTwio+nBjDetfwh5oC4LsZ9AiECWBT2IVEhaMFOoOqA
2y60AR161g568Aqn+TW46EyVP87CCiXjTdHHtz6QBxXVvz+7U+0z7UazbX0dYpJ99GY5l+tvX7tW
/fN3ozDFmJ/ltZyoMMicfuGPf4CmFX4kn40rH35++OJ3FX/V1f48f9SNz5D/8lTJSGBBix5Mgcjs
+akuxQzBTEcEYiyKU2EaeH0/HfKPvyGnLIjKS1RPIikDvYw1J6VZ6GFoS13CffmkRmFOR1PFiqn8
R/0C3nbegVBBYlyBT5E0cGyjrxaphDHPSWcioAO9ug/wCe3JcmwMEpHIOCeXUXfgj+pS74BAJHzj
YCYjNSKvFeN72piq881vwGG+WoGXXm1HRGo4lIKwBvFuA54Om9C20N8kwF9j46oC0rh4978/H0fz
t4Fo1XyVAkNJAjxGRR+p8oYj8GDLZ4jqvJOCH/xYlgTXqcjB8yO/UgQOggTmJCkJmNXyKpZjR7qx
oiJr2TUpYtRFOJe5VGbmwsSFJP9FbjB2O+ZlGCXTjSqW+YiSCuxG+yCNtQKX+ADVrcmIQZhuPnMD
kP2KWdvtzGCyKL05zPyyGnYTFwSgjtuIfxov2f616Xk/06AVIveVRW9LFZ4o8/+D4vsTOAGiUAwe
5iCYoNySK5DWqIpkpj8FQK80KIdhgu7zgJDVOyW/6UxeS1cCn5yTyZwsov3aRIG6CcYqJ5T5Fgay
nakg0VLVSu3O12s5T4e+Ghnhj0YylQY6lickeHJeUstXMjkjavz26LrzuyJPWMIZhKhRSKMwh0Eu
gDfDBkCYnbUs6FfYfCl2eS0nQC6LvjKXGxg5+8n3IA9SVwI7Yi6NzzIaE8/WxD2uLuWjOzWEpyDC
3apEC+nOCt7FUPckP55md4vhsN1FKhKsuEC8e5IiZCPmo8UgJt1IJREl61r5U+SxwxuYkUwVAH3k
uC6DIt5Aw0/EbEgptyveffcTn4ghVcI2w+s7mZYsfjXGecNJK4KAq0n9V9b58p9EGuP//v0fZwBh
R0Tv0AFV/wsuJDZT52S0gmwIfXfnRk8NyyGAVQ3+30BXxmEyJZ7EchjkDOctccFh8Kx9JDgmIh6J
iDCYw5H0xTJMEioOTQZV7gtfPBIrnOUVJQLzZPl2ywOyJaIMetyHKx2VcjI6zVn/sCnsrwioOcOY
YgbS4UrbSaR4clqZyrUYhO1SIeomVDlMe0a1xAhdcqrL47Xf3DtUcSzSnFzGi+qlcHczcY2YnuYW
bZPhCvJ8l63kNWydeK7LkYEM5ET4OSHNC9ti8CADnVsURk+GARE622IwF4NwVskZWAz2eJCOaZ7P
5vB1N5jaTPjbYFDpwZd/hgbQEV/+leVvr6Iv/8b4ZZr7sV/MQrwyyL/BaqBStgMjkPLnebttvhHB
qmzsUDapT/jTpKKFDoNAH6bRvQqEcSxi+jYdBruE2oQqxbEAEtTnRRdpBmR3iRO0Wwzc+KESd2O0
VP3z/qBmQzF8pBajxcCItQ2t6reuCNc1oYcqMm4QvhAj2tQwmJcpv18CMEtd/wozgBvz9M3tZaz3
exOOC8RA7WRs8fzaIqNKW/xVV4fRtSunh2IaoWyYS3UWNTGE0xhSGaVxkSpHMH0iVgJFx0jNi5Qt
k8HznkU0RrA4Io+zOBKSGBDLYmAuzrogDNBgwJet0hoc81JF9DyMSmGSZW81dtvJXqSPQiX58TLx
2m5Dt5PtyaEIaDYHJaD8a94ev/xpVhIDDjf1PXCe9DaloYZ1X9hApGNlHESiHGKYDKHLYImMZH7G
7PpgMyjZM2xAn9nozlRUQQ/YDEHBn2WcGIciuCfH18i9uhz/i5xJYimxMag+1RNUogLjVKrJNCEW
07FNDqOJUH9onMUax0LIWyaclKsxnXX5cjBMjX4aE3l5ps4gNH+97g6615+7R38z9KuVUWBUpNPV
+L2G2wJaFxg1x8U/2x5rkyt9wcEyYjg0hsWrHR28UNZ9L4zGpqq/tVUC3u9FfMX71A2ai4/ws0Vq
B1E6pCq2TcS3u1FgYNC0K7Jkw6GIhsiU5EQzo5//8HaHikp7qnxaa9cA2ro2R59WjGn1U6Ng69LV
5SfExGImiLHk8H6X4kEgQ/lsi/Ojaj43GIxwRywRu2wy9M5WW7hdUDol2dP44LqsPgpnSGJQfB9H
uiGnu7l03WIQPgBDy3hTDj96DLKj6d5JKsZAbaY07ceRyj5FKE6yRnCW9d/jOZSl9BqxGKQ+3Wd2
9AVW0QeVMgcH1KEfBkmsM9r0gsIRK16lMkpC47qE87U57qqDxLhQSRJnZvtSPihqqkwGfV9DiXvp
qHQLYDGxEV7nWIyz49+EQ1FKpNsMGnqDvO6aPx3IZhhvsot2FZeZ7owJwbv4rIIRbGH2OBqftLYO
gHLQ18JRBD5ELVHFU3xlNFEbjT3givU179PgxW/YGtJt9yeHYSBKCAQsbq1/8g5QnCNBU/kcpcuB
oLGX7TIYuLWSdRE2I51Ps2U2R110TR+REqTSl7Nlzl4dcjR5yoEQ+77AF9B7MdbcckCjoFtr4188
OHaKfOTUL/okf5V3ux8nADopSCpJgDBEDwcriUhe3VHCDC7gIEK2hrovBseIxNLER3wWT4tCaTMw
or8UwYzmCW2OA0/T8ktjMF2YER1IEko2GM7aQf0xHNN3xlHlHUTK6CEjSC63HBAy4Owp3pujbHwK
fLNxof81OLguSpnFgTs5C8YAb5Rq/5ZuZ6x7nwNl+urQSlmf6rmYU9NgcdzFL5bRZLkqmzOrwRA8
rRtrLsIS5hZDFOozY13w3kCbQaUvUFy7n1ZZwqDXPVFK1DQYMjV9HehVVET3p9cVZFwL0R5SkmUO
4AaQi2P1QO8FFkdCQiMtl2Wd5gjBLuWcwsgsl+HVXQlE6dLfdCmz2iz07yuhiuUx6PYVurMVNjuU
73Ymg9QNVDARc5iNXICzDCxHrvRmKlS5jdnmiC1uxJ2qchoDBPJHeHve+EYo4C5zOhkrOCIMnRfQ
YWHZzNkcFunTaig3sIMj//pZySQQM8IPDlN3lqAPbL4hJW01bY480gVm2sdTQKnWBcji+S0MWWCI
DwZzpO/85SZb0rA0DKe+O1DjsS+NrohJmnAN8vk29fiVUMwB9iBijHSezcnPq0UevciuywFryPyD
MC6ARffR/hHfi6VAbnI8IcYGdclWg6MD4kahM22vp6u1xcdxbQ+zpjjeuUQsf5/m7/z3R0qES1xz
lPE9mhpp+gerIV2bIwV0FN6PQ+P3AAXe4/anZqL4aJ7bwmwcBgDKhUhVpAh2QU/YxHQqhhDvSuxh
sddoqsQeNjUUz//8HQxVnQEuyBsos0SR82RaikbWrNnqb4oF2u4zbu6XK/bX78sunv9nKzAfSl+t
iMJyVHE6IXytroMQfeGIpru+MRD+A6rAUVHgONLIKMElEt0I5MzVwRDpzuUC3O3HetBA8cDQ7vzH
t8dLl2BwJFDLz0lp/4GxbfmPb6d8hQZHauwsbyvZosD+sgq3HgVRF9HxAdE10UTfa2m6iSO8wSZa
ha13uaBkoTaDQB5GYkXB8xwNMh1cwIiJ4ghXMN04LDcccwTX3REq+dQ4cYx5WtfFdbd4qfWYo+3h
WPhY+ofZURsQgy5DfHOSIs1NhA2hRy57bzdSWCID1ZgR0bAw6uzb4fkro3OdqoBVJbUzq91kICyj
NKeyttUMIdKnKC0f1ubQkM/oJ1xhlBh5cfb23uP3cwNWNiHpV+gGfADfqbVmMNYHKAoABlOUx60x
9fYifzYGip5VjyvVbqxO/zfi1IlKaS6EQdMPwxiMzVAcpzJayUn4UPK2HMAUHF6UOmM4YCh6JSFG
2pE32GCwUkdS1yTJdZQD834WgQ10riJH23oXU9ZLyoFpebUFrrOS+s6cE9LWmgOecawqwyW3w9a3
a92xiEK5yX1zuMPjSADsVOSEHsNdV6NP1BATh0pNMhz5+hOg8IJYEu+9/fKynccnMgLYlpLl4AMG
jlLuegxmuBOFwBcR8c1Gh9d9a6cpChYRYQLmydeXhjOUhkrGAV0dDHQT4dPTcqAZz2VUEjCLAw1y
joQw5rJQXJXF4YF6Iild9zDSuD53eyqZpuXQxOKY/4a9dQ/iviTAHDPfegp2HdA1pKlLHbAcMI5e
+iQBZ0kjmg7lqAb1Q38MnuQvLbs+NLfmZLabNRS+RXkGDoMBQvUhoYflKPxcSsAaI20paDaN4xYM
DMdj6c7H4ZqvdKvfmLw2jr6BK4xyTUvjXiyOOdXXmMhSiqdsjkFkWqPL2DwAJ3PG1EgDZFYTqQCK
AOa4dQzmpTZ5m6OVe/AgcKGLiEzYNoM5HjzKMXUeNkeX+OBRJQBslsUYuzPqv7xP93oSAQkubQ7/
8dx1fAF8xTik10YODOBnBFcjyF0Hl9qcCVkSlWWEGjpU9CyniAo0x61mANwtdarYApM/wNtVEHlD
qSe19il6w2qyjBNYg+sA/ZJAMdLTW9gxzeCsLsI4fCDc1ntPsJB0G2veL9e1aU513cxX8Wm0MPws
w0dOZIg+FhIacMC/rtO4hIXD7pZtr297dKSxQ/QqiXUa28gW+dh9feV5039Gt4HoT4x8KaLv/gcA
AP//</cx:binary>
              </cx:geoCache>
            </cx:geography>
          </cx:layoutPr>
          <cx:valueColors>
            <cx:maxColor>
              <a:srgbClr val="0C5D2D"/>
            </cx:maxColor>
          </cx:valueColors>
        </cx:series>
      </cx:plotAreaRegion>
    </cx:plotArea>
  </cx:chart>
  <cx:spPr>
    <a:noFill/>
    <a:ln>
      <a:solidFill>
        <a:schemeClr val="accent1">
          <a:shade val="50000"/>
          <a:alpha val="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188D24AF-D872-6F4D-A6FE-FD4238557153}">
          <cx:tx>
            <cx:txData>
              <cx:f>_xlchart.v5.6</cx:f>
              <cx:v>Umsatz</cx:v>
            </cx:txData>
          </cx:tx>
          <cx:spPr>
            <a:solidFill>
              <a:srgbClr val="0C5D2D">
                <a:alpha val="81000"/>
              </a:srgbClr>
            </a:solidFill>
            <a:ln>
              <a:noFill/>
            </a:ln>
          </cx:spPr>
          <cx:dataId val="0"/>
          <cx:layoutPr>
            <cx:geography viewedRegionType="dataOnly" cultureLanguage="de-DE" cultureRegion="CH" attribution="Unterstützt von Bing">
              <cx:geoCache provider="{E9337A44-BEBE-4D9F-B70C-5C5E7DAFC167}">
                <cx:binary>7HvJktw4tuWvpOW6qcRMsqzqmTVI+hyzpJC0oYVCIYIkAA4gOH3I+6H+sb4uVWYpItWpNKs0q7fo
hUIeTocTuOM55zL+/jj/7VE/PfQ/zUZb97fH+R8/q2Fo//bLL+5RPZkH98qUj33jms/Dq8fG/NJ8
/lw+Pv3yqX+YSlv8QhBmvzyqh354mn/+r7/DtxVPzal5fBjKxt74p365fXJeD+4Prn330k+PjbfD
eXkB3/SPn+8e1fRUrj//9GSHclheL+3TP35+9pmff/rl5Tf97q4/adjY4D/BWiZeRQgTjhgPQ0FF
SH7+STe2+Ofl6BWhGJFQIIpZzDDDv9768sHA8j+xny+7efj0qX9y7qd//v/Nwmeb/+b90jXJ17Mn
zXmjye7LyX55btv/+vuLN+CsL975xvwvDfOjSy+tf93oJ/urAf5923PyChMWUR4L8EHIw+iZ7XH8
isZxjOI4BOMzTl/Y/oe7+b7l/7nshd3/+e5Lq1+f/vNW/z//7Yanvn8qH9VfZ3sWvuJRiELEBEdR
GMVg3G/iHrNXmKE4iiiLY8w4f2H7P7mn73vg2eIXfnh27aU3/vfr/7w39sODLv/KLGD0FSecgxcY
IRHHXDz3BCSJQAgjSsOIxDz+NQa+FqA/sZ3vO+G3hS8c8Nv7L42//x9g/Mvy6dNTrx/sp6dfzfCX
lCEiYiRiEWJBUXQ28TepwF8JDLlAEGUhjznB/Ndbf/XAn9zT973wbPELTzy79tIbl/8DCtOXUHn4
1Rr/viP+fyZ8AUlfIuUlfnrZijf9g63/6p4gXglCwxiFUPqFCOPwWSKQV9AHOA8xCmPC2cs8+HM7
+n4afLv2RRZ8e+llEmxu//P94Ng3ACb/0obAz70XegEJMYsYDaHgfFOPsHjFSIShMeOIYPKlc39F
w1/r0Z/Z0Pe98K+VL3zwrwsvPbD7H+CBk5+fzEffF39hJYpfARsA82IqWMgEet4SxCsUExpjYD2A
TjF87Ndbf3XBn9rR933wzdIXTvjmyksvnN785/MgffIDcMVzb/7VGP9+R+AYLE1JdK44hAp49TwV
0CsaIRJDEhDGBeIvWvOf3NP3PfFs8QtfPLv20htp9p/3hnzSxV9alDh6JRhGMaIxRUIw9BylsldC
YITiMAIES3FE4fK3RelP7Of7Xvht4QsP/Pb+S+vLv8T6/28O/ZuYkD4MD9kXFeIbGv3HV78cETr7
i6V/JGZ8NeL+0z9+jtmXsPrK/8/f8MzAzyLy+aKnBzf842fMX4HvImjqwOqgaYCDpqfzBf4qElwQ
QL8UIejqCO5jm35QcAnWgF/h85gARfmCjF3jz5eAP5IzYw8pp2fOQvhvug9Q6aVo7G+m+OfvP1lv
rpvSDu4fPxO4e/v1Y+ejhUBviIiA5MO+QrgPhT20jw+3oC3Bp/H/WsPctHRYy8SzYRPnmqjNKEIm
g9aPqVujOEpo5VLtl/Zijf26rXTE5Fpbe11gtKeGbrqKuHITa3FBu7zcMVypEw5wJ1HckuzLr2GZ
11vfT5/qtXBXa8fadJjEkAUr3X9j/O8ciIJs9PJAITSJCGoSF4Ky8/VvDhROrq6CQpWJbcOHYGX5
MT7/4G2cRrF/F5FmlOsS1seFBC6Nh3w85UUznfK1RnIMqzGLdLkrh/hUuWJ8jZpmuco7dxqU1XLR
Odu2mJfpsI5hQhoVnWjRRyfI2+jUPZp21ynRbLAopgtTNl2SE7NVo12v//iYZ3XsxTEpFGYKaIVh
wUBQeH7MBoKFjX3TJHE78WPXdkGfzY351Lux2pblMCaa1UlfuOBYGsq2vFvaBMcFfePzsL8aRn2i
1swXw6x2uI2Xy5IhdVd4c6r4ehW1BO+8CebrKjR9Klqhc6lma/Y6X8GYeR4nXdfvfZQHKSqR+tjy
rWV7QfLiajQ82NVNzo/x0nPZNeipHQv8fqiET2k72t00FykX1l66ywq0wWSc4kZIHVQ7H9I5G8kw
Hp22x3bq6x1SlqfMM3Gc87iUXBfFOzcKsdGuwpsvv8520bLNNb9UpY2O0WSY1KtPCG2DfU3FvS9R
SyQZcrqHdLwMlnJNgkEHSb6w+sTr8Z8/Suy2f+yoc6P8naMEaGg0BjETqvgLRw3Mta4VVZPMdDCb
nqL6pFsNty9HvYuCHfI6LKSpyEUvQp3hqlqPKGCDrMuK7tQyP5gFhRLitrnsFl9sonFBtyjv6MXo
xEVQBU5G5xgogyBOCt2Ue0t8mS1R18iodPgY1nTdhDrS6Q+OBmDr5dEgrhmJQcpiVJAXqdZO7bSO
gasSjWi/Y7RoOzkLczmVYb5VHebHcO7D7cxCk8soX6K0MGaWWFFxCNzQJm2brwljZRdnTdykM4Fk
AXD4ziwqv0QTp6eZOH2Kg+UrKf9aoq+/1rdvy94ZJ77cekhwJAjIz1RE9Oy1b6rEiBrddUtQJW1s
0qCbxX5klX47NQ2VdoqO7bDEMua4lNHSFkc+F0lrVJ38wIIAk36/DaB0gKIQpjx8UX3dPM2DR1Wd
TH0Xbwc9RpItejjiib2phsKe8piYkzq/WpDtts6296psQ3B5eBfzGxWM8aGJWHz48mrmKv/6qhCh
T/EoIjkGvj/hvuzSUYB/vJvWrQHl/0dH+Z5FmRDQULiIY0rPR/3Gos6KcCEtrhMftEs2zPV4HOit
0yU+fPnFn5P6y6u1afodjDyWXXmOkX/9WFeoGUsVO9mVZbT50it0X2TB1B8tayNpXf2DOvq9QICM
h76HgW3EMX8RCK0faLTU1CThSFMbFE4ajut0rOY6K0aMUl1Un0yP473JA7YV7DMK6h/0LHyuAc+b
MAV0QM6FHGKAvSzm84q80LQzydzmfLN2xSOPapwSK7iEOo9OcUE66UqiZN6V16Hqxh+4D/++TDGE
OCWAUaBKsd8lxFIaP9e9Tmqt+VHhgaaB081FWWmJNcqPUeM+iorW2yUOimPpOjnS6YZ1lsq5bO9m
q+YLwfOEdMV4RFNTL9LEvr7444z5jqkYCmmIeCgA+oBw+DzMLHVA39tZJyrwEOEBDS96TNYDcecY
8d2pC8c4ZYNnJ2Xu+garwx/v4IslnjsL4gRuzTlgcQDcLwp6GODadoQ0ydrvMCvKu1m1iWLoba3r
7r2oLElcN3Wy8e7NIhTJxBKQPedeBpHBp9DVdlNHayNzG6PTEDnIeUpUhvK5yWKosnLl3MlqELfI
9WHGwpjtCXfDhvONaOPmXTgKL/OlnbMvDd2MS5gGdXNParZKJFZ2SfowkOXs6uxLGZ7F4I5/bAYM
RPxFzIYYupqIMQYrIP6idA05ngFzFk0ylQFN3IP1VbQp2jJM57j0shE9OvXWdClb4kx7uqQFE9Wx
1EhGveoSapw51Lxc09nR3Rns3rnjqPv+B6We/D65wrOmg0AsQBSUhRcbrSNUNEO+NElUHVQXrgRw
6YQulQvRJQ2Hi3hR4557ffCjc9ki0GvcW/oG4+W46l4fwhE3kphi3EC3Ki7QQA91OYf7YdAoKUsV
/wAxfMewMPMEuIAAlYcw+Xwe4euCmJqhj39FdkOHyq2YSHHqaefhDPG7aRBJDP6+1P34+Y+9Cjrj
S6eC2g7iSgQNicF88Pm9hclZVTF/dqqPt7SaglKuNCgSR715DVuGrEf19IPiQ37fO0IMKc2ATUA3
BrHz+W0H64phbuG2KiTo49RWslC97IgXbyqqzKbh6raejbupgsEnE0Uu6YNx68euWiTqG54Qw4eN
LtePrejqi9n35srXLpAuz4c7tM6rnJX+wba/Y6yQMEZCaCDR70tRh6NC2FwYCGWkN0U5VlKU+sIN
HU97YtRu1VOU/rGDgN298JBAgPZjwFxQrmGGe97UN23Wh9VarWBCWXcYijV+7zs/HGoy38SqSMso
DBMTNliKPEoiXdQpK80hj1AraRQu0kb6ekDV3eKKj3HtBmgvKl1N/o7WxSCHLtj6vEz6qu5lnSsk
A85/EN4CYul3ZyAgaFAAjSBmn0Xt52eowD1D3KtIVgxw4xKxm36u221UBhu/VtDvI5UnuVJbTUty
MQZ1urCguh03bC5cWqwdSQeWIWpsxviqUxG4Wq55XGRjq6K0W/KTUlwkCpt1U1p93Q60SriIunSK
RrvBRX+zrkBj+RhvaIPjC8DV+xFbvXEseOJtOlpcZoEIWLI29bGOh1tLeHTrWARmJJHsIz6mdt9U
waHGJd+7XHk5LGTIiM6HZB3f9oHJOrsOR8+JlgI5tYXGIWlQXZq8dEfs340ihx03jGTlGEfp1K40
6WglJzasUqtWunh6Y3tGJG3Vk2vppnETlhYwd4qKsMuGwH8WE6CSsLJX2kjm4iWL4+A4tcHJdm+i
3Lm7G6BybdZMrc2gMA/J5LRIowKnaF7NnhK7yAiYearjhwLNpQS4IdIRCX5Aeb1TbKJpY4Naukm8
I6UOMjdA9FVhZnBl9xpu29fFfGQrvp4D1t7ZRF9MlFY3YV6FSUGpSwPi7ikai8QvwmV1H2zUbDa+
Ka+bKiRJiZtG4rzjMmBBuXW4PYyNmZPK3zgx+aTFrJW6z/02t5jIiSCf2WoMZNG2HlqgAdY4jFkQ
z/eVWT7Oah7lZHyeBraawLVQvMKHfqFZP2uSzTW36TKuh0jZUuqZ0407rHHdHQkJLmddk6QYZylo
lMvFNiRbbPBYT/MpH5r5qsB6uYganPTd8tFZUqYBnhKldShDX0kvVGKA3cnB1GXqq6BNBvsw5ADc
lmDN09b4bCa52ru5vPIREjKqAZkDJgSxBWCNdL2LDq3frz1im7qzENdKHcuyrpKwf1crOm9cEH/y
ojNXczsYSU1bbyH+fVpFtk08OfQFPvi8jqSK6VOso1uzxFrq2h79MRrqRk71ctP0I74oYviCwc43
ZOCNLMbuo2q55HM+HVb0JPhi05LUOtG1qjfFDCFuNLvvCstl73OVMBsnBGJvP3Ge1CadZz2kyHK3
4avppaH8TFbdjpdlUrBRSEWByhvbPhYV2D6GTJZE6zGxkRCyQnG9wWDtQ8lpMviiz5iHrym1j5Nl
DqakmO2jWbpdXFSDbLEhW+79oSWQ5fCcFNoEa73KQI/rNh9WlnTWlUnX1ywbBjPtSn8z9eXROagn
8YJN5jPuFNl1bth2K163bVjfebOiTClDU703BGSqoG7F1s9m39fzkC4kGnflLJoUtVOTakXLrJhi
K0c/NoljjVzx9MmEFZZeFpVqMgzkXy5rmI01RNpM1Fvt80iGoulTwHnmAMV+STXiM2gALZPV5HzS
j0HWC1zIJUZ31CIOfT/AyYpJkxql8TYw02vFHvMh7mQvPoFWiJM4Qq87qEiJ5pGStanFLqpzGZQ4
T0YNnsmb/q6GArOt6hDto/U9wrPY0Mp+FHA00rIi4zGbUzOQpOrzJYmYyzMAm6+VXdSxroZUlBhB
jOI6y5c9bVR+qoJuE4OUI2dKl82EnE4Iq9qsZF0nDcpVmuPhUwwKRGtMkTobWSnsdR/XB1/q16TZ
l6p4b2g+STuGDYRZICOLUNoHQSPjNlUl02kFlDer4qlLy35xycD027weZKVa+q6n8CKAwDXxeIIn
a8pd0wyPw7lSNJCeazHs67kvZTBPdQoohGfl0j4sbTXKsp38iQ3iA3febNS0flDqs6rqLqnrckk6
JwwYciyvFxdcm36KZIc6m3RxFchwDt5HcbeLmpZdi9Z3SaWhgZAYLadekX1L1uoA5H6WA6889IXy
1mF0ym0UZ6Ln74ZqCa/Av1AH1zmdFciSIa/focniTTW9h0f6xE2rG51SVcaboGGyn0sqfRSV6TSi
+5UsoSRYA3sY1yTnwSi1vg2EyreVAr1lDeo7NPRjEiH9wZR22UQgZ3bqSr0GkPdkwsjdzI6fhrzf
OV7iTTh2JCNea9n0K4STHpQsTGOSxva9xKABAaOIC6mbkKRiLYgsZmaSaCBr6pi+H/kNjeet4cik
TLP9pEK37xsPudE6yWI1p2UdAXLj9d3caJGEXTnKKq9JZnzxqGg/yWA0ftuEH3hgk0i5EVTCk/Fr
IBUh/cE1PM+K6gpxe8VETUAV1J9Y3NIb0PdAVAxEuizlQ3sOjc4TCR29kdwj/l4VVHaUlPsY+5Ov
qn5DeXEJrXLf50y2AysSPhXvFO6rVDd0yixTV5zZCyMmfoLhywOwAJ56X/dpN08H3TtxchxdQpky
t27KAazCvvrWJpj0p9YE9yrKXwPZ3regicPHwg3Md9KhjtmunvGuLvs16dmUDPUUpJTOQrYlYN5m
ZDvbtuUeFMMLrLnZiNDatA7EqfZ5s8U9aKhrE25pgR5tb0IZA16bqRqkKUMqVVPdD0sXJH0E70Ot
eMANuiI4njM1uq3ihVx7+2DZMu6HJvCJ7lYrsZz6dkgr22a1c1OWY99vjMFRxtaySgkKNzic3VWh
GgVhvpAt64IxY4I8Lr5f5TTHJDFLGO4ISMWQyOQNN+O4Y5BKp1I3sQzPMYoWsmt880CCz3oYo8Q4
B41pGWk2BTpK51470H6jWwCoFyvOoa8OQ8LmVcn4vEvtubkJvMooPbUloe+h4+nMjhXAiG5Mp7CC
XBDAMwEKpkNjAuktrAWlL2vpdCh0YDbnqfPx9VQZ+7EfmzsLhFOiyEcw4AhBZe66IisOTavfWYrv
6hpNsmm2RbEBOFKsdNePYs9J9VQysuM6eCjcmxnxYqPobmkXKG9LhFMTs8zoIko4VG1J+HVZ5umg
eg49wPC0A5k4UwWUeVQfBTz+lIxVA+VuTngR5rcw7Fskq+SyiGHXzRDBi43VNenq17aC+O+wHTPL
p+3golh6wCSxqpvEY7LsSM96QL3F40AFTmlldkXRXVmNerlE+Qlw2odqMjQTrr2gxfR+7D0GbUnv
i77z6dgANu15kcwj+NQN0waVAnDnkJpuvfds2U2tQBLPw2fP1o9xpUKAqMGRT1TJ6SE3db2d66nO
ZjZk0MZE5ul0bYOAnYJWZXMbXsUdMpBp6q73aBe1OhEVylPD20AGXUzvgSW+Jksgaz/TY0tFkS5I
bKc1q0L93sQK0JWlVgZTdUFnsjUo9Behy9/zc0pogi+hmNptXQarbHlBgBcN16M3ReZ6cWvjIrqt
o+YNK0m3t4A7CEHXU7VGqedR2veRPaJ2BZwkux6A9tSWOyiyQdbUdLnFBBSApURTujTXJnLxviIU
uBPj+SFkgD4bta0wTc1Ch7tgtokrA7crNCcwWqvijFbB+7qe0VWDd8IbBChz1SfRi1zWUEwMqJBJ
hcxnD5LKrA1kh9o13WXl9JgqPi4SKHRzh53dNkO76a9B9CVyKIMiW/CwmeDfjHqThsH6emLs44yD
K1q1UuD+2A1+n9MuStxkAN9Bmcdu+Fx0iUDVk4NqjdylrTnQGsCDxLOt7o1sCDrVeNoBK7lmUSvb
7jWvCiUFm6R25daiXIpqOU4GfwBN7IzQHuCBVi/rt3QMb5YasM9o94SASuKHFhA8DW6XUl3Ao+Ay
Qr1OF9GuSYPXy5aTeBvbcZSsrve5FTeAdMqbDnCVRxYfXD7cAympx6beBEClpC48AI4pP4w0Xo+j
wQcbV8DX4voM6JvtpNyHvuooxNESbmraJCCFv574QXNNM6qFSamrgtfOTsfccYiqPCJyyVcqzztt
mrXYx5DTI1Hp5GuURDyH/ebNfdnnG7GQW0XwyVZbZMtrzQiWLUzXmgF9Ug29aRwu0jqK6oThtdhZ
jFMPih306PcwbGVJ7Ztcjly9mcaUiLKVrGjz1HdhkwTsCdX8I0JzLxXKqcQVnZMmmGUe2wtgPlZG
Xdydp+M3hpenCpVjtrLISWfvdZ2/gczQ0gr0vgyjj8zztCbkHQPLGkBiygQuqfPqjSjyyykYygyV
1w6gP+jfzU5ZNm3FkhTFPXDLpe8++HV5X7btzTAILX3fp9HAukMdFUMKxKjc18bItVzf6pjdm5pc
dG1IpCV9CYWUFxmjh7Dv8MWSh51cGd5jBAS49XViEHBii52DbnlVliE0Px0oEDfLfrt2NZa9bbU0
xEsACugQkJzIAGNQK4K3DiYxfFOufbH3I3qdW3Zo8BQnojBKIqI+2zJf0qBZ3y4kHmVkqi083Xvb
UrNdcGFkpNqTAXZ3gJ67YcSRS2JrYOhBIVILoE80a4LGOAb5TT90LniP17zKzMCeqoBmhkLsQJ3L
G3Zfx+oxDMCu0K8vl7AD4Os1TEkLoB45UIGgjhM9Ny3sOgBhMS63ht6RkLgdUPA7Wld7b0yTCIUK
6Sm4JizKOUG6bRO7AtAxDu1VWd4ubngoxwto3WKcmoTlebFvm/kDqTDIQFXVJaqJD7YPTnVv0zVQ
H4LAdDtFRJWNNA+A8A0eBj/9vmHitjMEaBxA/XYXszDKgHWC8eppFxbHXDkYyhVq0yxDmKwhxom2
5W1Ug6BUkPBugZnyTpQwfVhCDVXSlXXCociYpS5lXs/qnrFebU2ni81ZislEbnuY2K4XkWdt0i11
kELVRMCU+ArfL6kvo+1SGZOqrobEy8ebWpBpR+o6TCZbWgB+K/SiaK3lwoHTaptDKcrPmnkwXrNx
p7hC6WzK9Zjvy5C5Ax1zGJWMWUihPao4IklAxr0b2SEA1RbmxeWHjgxPeQ9oieXoyk8MwlTd93MP
KM6JVsKEpJUxy23KdfjU1F0W3K4glm7bnFSyA1XDRxzJmJaTFNEoh7gdZDSFjZy1v6mb8aAa4bfd
0Oynxac1XxqASlgfUWf6pG4hjAJbCBlUNN/5tfmscT8flBBpEQFdWJwKs1mx96yCKfCKwc46f9uB
sp2EHjrNVDeVVPqCYQgUUTCbAobbDUgw6UftN5EdwkO+uE1opnhP/XRRe/c4TzSp2koAi8AT2J2I
bVe6a5bPsghCvMnBObIMyH1ZT2gbtBVN/RQsmfgU9Z2W3cTUxtU0ALZRDfveBJslCNUJRorvgrmP
U8TKNo14cRt1LHrdtTbNOQzVTP9x4VBbbdlUSV6VJnPOpvEYQnObZ6AzPSllHey7s4Zkh+lCGQN6
RuRryUFlmfoICOp40mW1GVlw6yxKO6jsBz0x0CXOtDPuP8UFiH0+zD9QqrajJg74rvhkHTyzMFk4
lq+Km64q3uo5KhP4uwwoZjM0KhPWKHOz/xDkHgoR3i9i2a5zAGUgf6vW4cI3ehuN4RFmWR8B0xRJ
2dZvW9sdB6PBOx5cSNV9hGEyqXh3mj7AQBnoL7fNVgVN1va1kkpgByC7JckMRSqMG5u6MNpXUfsR
NIN9MVjQUUIzp/CcCTTRIMYAPoI667soTygHg+ST35QchHftI8B7UBQXUlUyb0Amh2cegOi13gA6
hcdpdP3GrSajNTBh3tr90p25Qw8SKSnbDTZBmJTTepgFd8k6YdB4V0c2HXAOeDR5azEULDW3QaZY
C8A3XyOJ+9RQUP80D8wOLbSXLSDSMUcwFygg9mved+nqZ4lokIUW3+kYF4eSCAvTU98nCAHgm8f1
7RSqz4Ng96CPbAdOPsRk8kAKxSDpCOkz4iCB4WgM/cR80sW4jQQId+G0TMnUKQvqI8ihRMGzauwJ
amoHUiI4DZ7WIVcIGKteUCwpJ0B5urd+am6shXkthAf8lVMlzeoZAEd+S0o4iXJub/Nx2ykGj0Hl
T8EyNbLXNpScFJs+8FGiyHCwSwRApwCUg0C30NRo2ZsZnivpwyJTA6hdZ390zMOcNBTZPPvbCXdq
G+PuNQ1KewCqVxzHRWd9y89q+pAnC/PHsbRVChJ2nWBNQYIogysxX5QkBBFJG/N/uTiz5kZ5Llr/
IqrEIAS3YOPZzpx031DdSRoxSQiBhPj1ZzlvnfpOnRvKTtIdh2Fr77WepW1T1ls7iwEGoLduqUMD
Yx1LcavhxpysPkgP8qTV/ZSNkHm89GkR60Y5+eQlbDgs9a9RcH6uhN7Gk9oFS1+iQFiOSuKOfeu9
p+17rF5mB9qpW6NH5luILCRbJZWH3i7vAHxEXo5OHqTyNuMSHuqww1eq8QMzZZPHhks4BeOrGsOs
thzdOp8ua+n9DXUlstE223UiNie2GbNGlzKrKzYWYpH7joUy03wPTVxhHp9eFaaxgVp9ZNL0KAum
YKJFwQsI9BMV5Kl5T6OUHMcGamElNwOD8tfM5NBPKYbKtNx1JB6w8IJnSMrmAjumzSXHM9Wx4DoN
03s48q+ABiaPQ4/i7gjjQ93RDV1sfQ7djLPCr16vn2UZ514KvqlZX0MqL2nQ4fKX4XpdpVZ5JRde
WOsXiY6umvnLNuzLFWpdnGaUgViQ8fApnOP7JGsLVlKQJXFHM5f5RrUbStSUdSoSYI3R6hHousI3
AGcozAJh6qIjq975Zj7Hwa8lUiR3/jplAheo6MR6m8RdkUy9zwm9guoB5K29TLJ+7mw+mHvDpESa
dWmHtViZD3IpuxILbwUbpW+hCpAUt8qwzDl6mZM3trdp7aqcWxQiDOUw+FOShU1EMoylT14LqYeq
bovqgtG7Fx5MJFiOrcZjjk4h47xbsi4yr9CybFaO1O0I8Vlm1v7T4/hVSkyPXgT7TQYDJom+01nc
RiT3bngU0Sc5yOu4fxM7Jbs4bvptpP00r/+6fv2SuAK58p3LVAKlto7qNIvocghWu5N2fWHSgxxk
pkNUBjTrDO6KoCqrzRo0GOEwF0xT2ewk+ROUYoUm6Jd4nJoTZEz0SAIL8OA3G88JuBEh9NZlME/V
4Apifbk37ZJsnUwHKLD+CAvK4pHV3a7toCYyu3a7Jp547sFxB4CjL5At5I4R+9dLdbWr+XoMA9xT
jkUqX2Tkbf04+cJghWodhZexa7xdky5fcH/7Z1fRTcWxVumhwRIQoTSNLQ3eYqi+Jsjt1E151ZbL
FmpucnD+8DSrCT/TdccxjZ/pxD6xiEBJMNydWFB9pXZ8NaCED3XgHUEGZtDSerhK33HCIEvK9yhB
X8zLNz02X9rzfofO6twrS1nE+uQWNu8q/Bk4kaCeoomuBU+Aw2CdUyjNGL0HAeFP0rDKSh9CV+XQ
wg1FY2AyzpVoC0k6OGpRf/JXni/BEm8BgPwRClNCUF2WGHecneu8rGX0EroSz6/rr7MPDCgZcizo
TzFmkXzAnWqml7UxBedtekRV23k1/1dZ/tSpuzUtMAYmZeDD8dDfo+dfdFmpwnrha62mo1rJeRC4
QF2gbJ4Agyr5+tW5Kxt7hTt9xtLX+yarSL+t4uEdDxL6ge67ug9sS6DQF1RY+Diww42f3JmcoqPD
lBsGy2JMXbzxx+h1WmZ0mQIVCUv1ZMqLSMX3qpspL+f4y0GNKIfmLoaGl3VuH4ZwHIqQezuxJuBp
GoiOYwi5b5L0PCxLQcYqPUdGpBtf4aOL5d1MCgbixKs8mMGH9XhU8nDWBTFsO7rpq/OGt74c9m3a
VC/xUh3DGwkOS/rF1IC/o3yBtPMMJkMWpfWfyjn6mEtU5gHnAGrj0eG+pbhejQtJ1ggS5M6GV7L8
ZkyGeex7UWbTcmPMNu0oPvnyR8Ao9keSh6lHoK5Ou9p3n5GbMA9Dux+S6G0K6DUo1/gII+NQ4mnI
GwnQsW32C2uqcz32OnP3VnVccZLjCQWj17eW239JiCIlPV9vSjs90XDbeaKEH2LepxHPdwwwxnL+
wpMZDweOufCnZLM6HyJNgpGJNTqvV1TFfmnbDWpLuoFVOuayH6tNqsl2iSF1JvyWxormuKoNXAlb
+FHnZYTqaKOa5HmIRwgtqd1yNs5543fdpi5VmhnOyMZW4RNxU3C2WM8GjvVSWUG2tNfv5S7Q/Lf2
PbuL6gn9X2ts0dTc5brsn9USrpsIclduMev5S1vmMR3ewpb1eRr3WAKkN2TKYzZr/wZjiqZoQLHx
HBCZbl52GBVdVqteHVQDMx/kE+7PeC5ouvjbEtoVGprxQQRabKeQlPkY9+9QXKNdwCqIo5S1Wx8D
eF7Krw6a8V5DNM4sBrQsGIZinWCyeHMW1JDEG4lbb/LMjcUe2zgG8bIH9IyxgeD2F8EfhpZuE/Uj
FtwU7QqKm4IYYj6oRc03zKMb4jVf8Qr3gA7WZnroT9CC0CqOCRZkDMdrBbcUttwhnoLT0MOn6qYa
H8Wa3FSzOkWgU2A3thW86oRvfUVMHibRERf90+nuAJJbZqLBKDQ3G141VUbDaUu7ssnkCrF4skAv
OvEAN1rlSU/hPunon0X+d9t1Cv8q3gcyPcyLHbcjh2rVbJzGODtjps2CY2+tyJ2x+Ge2g4lRZjTy
WDZIDQNHu0K13rEqR2gXjm9c1xwTH2IWC9sbysGmTSnLiVx7nDvclRpoAJsBYkRy30TQgat0N1Lv
PdLTJ4XaDJEgXWFxeh8VxpI+Sd5mr7wlopyBFpGix54QW2CQ6KiC1N+qpYrzbpjhF6WgHSSbzhzL
be0Nco+58lSL6Aox0WUpOvwc53SNh2ZTu/lzgZssoGFZ9+VPqCJjgMFhWSgMN4y2YxjevexL0FU2
s6Trc7WqD7nOb2UTnpKx/tekwTtzDlpcIN/iVNmDkq2fe0ps7OL3G7XSZ1uOMme8xNRWs1xJfiDG
SzO4kehR2AHg9mWJqMiDmBzx0NX5ZBo8LrLTRdXod0jQj+EY3BZo4xmxb2VULZsSxTgnIzhCtaBP
6Mt0Cxk03SXawiWUnzFtjgAC8Kgzdm5A90B4crs5mZ4NGk/RYRVfTZtuIXz8+kMSL3eY+nZJ28uM
DAYsP2lealk+ulj9qUeBvrIUJruHM0EfzaD1ouAR1l2cAfLH3CSWBa/aaMP5+kFdj1FJJp9GYBin
lTksJv1SZtpQX7+PuvS3XR19DKgi22BCTSpVeVNlsGkwRlf+Y9eNycZgEG98ifHQ7NEXV3X3Xup+
OCby34jZP1/VC+lXoIONeCVGAehL6Jn48Yufeh+gz46DCdJspCjMQkNgN0uM9rNfHp3Ul2Ak8b6d
IdWZbrn0uGWMejEduhN4vGDnW4QVcDpzCTm9jR4hcsXHsurrzFW6yhIzbsrAcUg2a9Ym8/fkLFCG
Jn0KGqhmYdcf/Nm0wCym3VrhCbde/9wE43dSVWQDh2A7smjHBUQHrYkq+ha3m4TcC4xsn+p43FUL
jSFINliigzVL1/WROYO7VrTxNrB/aBv0W+LJk9/5Oktb9KfSNb9kOz2aUsqNxrUqvDLaW5l0uXY/
o021CWXpUHainIVjdLfiAA248dknT6rtflMx7ictXnXfbjB1hCjH5cmBnM7TEecvqdF7jBKqzt2T
ymafpYehN28MngCkon7BQmlRDjEOLCABsyYxB+Rg6hdJyI70DnSheCw1LCffV3/iAUKiFADUKB1z
WofjVkjfZTZYPwP+ZWB17FvYnFUf5XwenpvYbIcGmEePQaDEBOD5T2PJ9g20XnQaMdq+BXZhQs4G
Yx51WDVmr/5qRWAyqApYFtoa4qDrHlb9OCyYgGJ2oaJ/AAcHqifAqDq6DDPAjs9sl3KitvMU71cC
r8Sh4RJl/dEMGhMjdKs06qC/MSa2XXgQiv2efcxno7/+oazoy/EzSaFUDf7UbHTrzsBjlg2mzir3
G+jZnedeq9GRooVxqEx6nstpwEoN5jXy+mu7sFNYyedGw89PITpkU9leKOSSfRTXxz6qMS4MYVdI
uLZNOACGGndNiI8mjZly3YLswe8bRHWKTLVrI+hrVKs3U8fjlntYzkjerlggKGsyUxl21MNXHbmN
RIcF74K+oSvkW8GIy7mjh2XuIDAMJAFOh8/c+jyjpegzH5VmUxsDkkOPuxYYfyHL8TGOFpJBkS48
YPg4yTctR0izM1Q7Lf+4qfHh+qCOdQ1/nWPjHbEGt5sR4RgfQpqB8j3qPrw4D88ZhTIydAm4/uQl
qD916z/5Vk4oLRNuuQDyp1zCHdzjb87LJvdi+zEJXGuDtV1jnixi0fx56vsErRoLnwbn5XEZjlDG
9Ich8+tqG2AQb8A2ZZ9iiDDI23gFWbt6K7UQ23nAODyX56CEZhbCPRqTaN+lDj1O6OW10izjiYu3
dUowcc6/+3AQoFnQoKhp+ltZ4EjAwnC7fjEDSWicWHRdMe7UujnH3B7RiBOsXxPd8q5+axvyp0rb
PqOe/21bAnPeBku+JtW/yRtWZF8AxEWpQBHDcto4VxZskR/Ob77JDCqGTVFWKQFGsRv/QeuJTfek
SHNsF/R/UYJ1HJtNFDIBpLCmAgIL3M+MzOLXzMRj5JsiNk29nRXsg7bD40ijcmv81zVJNrEK51M8
dDtqQFT4VQq7JgCCN2NSD3rbIUERfJPSTR/tmsduq8tIQziNnmuH+lPLamPo/DY33Ydq0T7AN3gZ
2tUDgwTweEEMDnoMFFu0Fzxm1Y42v0LmuiKJ299sAVJSQ9GDxvBGkgGmD4r3JmAom/3o5boRMhfU
H/F/QFaQcOLRbHVtPgTdfgzrTyoeviXozblRajNRoHBz2LybsHMP8xaM8HIqJ3/JUs6ajUnV+7jS
DvVMdBsv7sETAiQI+vCOH4WbAWPU/RH5N9TDh98iNLU280NloNKzdt21yjwvyvqbJTRmA45IZ8LT
uI76kSxD4fp7AfPabpPI+btMGfxHAD0HnYQ7UmtUSKBkm8C5X+lKTqRj5wQf5rLUfbCpGvZrDoNh
Nw/uiL1Cdv7ylciInkAZ/VVrNO9EKtWGrOG16sNkaw1LMk+jrzdj/xS4Ed2f+0wR94GmjgtnIEou
SYje2kwFQw+fL1xFuR3KcSPjdMqX2etgRC5/fV7eHQ/3x5I4zlfglTlktQLrpsubAP0V4i5br9Hm
wZlHScZpG5aszJDC+PQn9Ua6v3W86DyMzYyK54Aw2An6DXypXoKxa4AMSB/o1Lxm9d3BgxBXn3xW
djskckDKq3DnKC5qQ6W4G+jxNg2HQ5UGfz1/ao+aJOuDiAV5MCF/lL7/lpCEn11nxfNC15e5px0s
MBKB2rTHXo/ewU+RTeC2ufkp1VCCQehUDWyevtdHNUKxXcrwNnP73JJmF4rV+0X49Cg7vlvpOmzC
tYXThbRTSbm6ru14rgOs34amv5Iy5gj8DcDyMNQUo49Ob1QcynhY9IrOhwD6E3RdkMWUQSNN6Axn
yqhdRYSABN7HtwUbL2S1/+h70EajylUw2pV+k7iwiB3q89q4K3jl9lHLqoBhfSKwlU881WNekwb9
6/ruKUhmhLsKlxyIVhlDly2X9ZuhLV8a75nL9mwmjn49gaqb1OGR0AZQD2MXsVovlzUQjJbSp25p
0lwCdnYz1HzjqvGwMj0Amlv7HMJNjMXbQKiKltvC3O9u9i9LgMDi3Kzv2qbqnMDKz23VHKY6+Duy
dTOMZbCPE+8kFRTWsOnCHBGmP5QgJscAtuXKVk8zROHRs1vc+MABxVmtss5RQPkpaj+NQYFXrLth
v5AINbghGVqxaTNC8A0eQH6WWwiEhzVseT7eFrTERz+ppyMdjMlhO99A8N811zrcNBQaJ8Vf2KCS
2vLmew04cJVM0EH4Rq7dfBHLdAHpDd4l6jPB0p3kTgK4F4jyRXvdmgtJRHubV7Wnlj1O84Curw3b
IxnHwp/W2+iN5FS7fs4YFHn0leWxHxa2KWv46oPahpC9ICjEKBK0T5+b8vfi2unY7/txPJC6elFT
+hRiScrklEJfhe0xzuterRVoAUcfRNifhmA6+OCvXONuSWSKstRuh0yeOqQedLOppe89xP+sjSWY
O69r9yq92w5Y+/pk3vZDHb76gQKlwgT/1w5FFM8fkC37rEMk4WQXtGrG9v9sWlcb0iA4GYA7yaLe
45mY1MO4qGDve3UhGGjS2ipwKWitNj32tss5NNrBoxX8MoDJKS0/l3U9zq7nD5IvLR4LHu9nt2M4
s9/J6D8lY5TV5aqffJi+T3M4NbjBgvD48zbEGp8vPVBxWkrvFFQEsLescKlbpEOHviQPEYv1ZSB8
Z/XgP8z3w39fD9nDwGZ3GsMEaZfIUJjOw3xuZLOvVikgDS/8maqUP6eTh8xpHNQ7xRjdo4PifsaC
Xl4HidHH5y4t6P0tW0hVeAbqHwqQF+BRc6iqaXtB3Q6vP4eJQSxKogqyN4yg8zC/Clui7a24vi11
vYAVDIcnMOhDZJGVWJLq5JXJ+oYo2h8ZiPL6864DvGfKvnq0E8mne9qkLe0NC3h0raGVvCR2aFG3
53j38806qsShoZdARCma2pE+T/Eqn+cIhgXeVAOW5l6117apNwK50qcwLP0nMnSnqKLySnzeHUot
l5z3OtoJ8BmAVenyMD73I9xQW7uMTwydtePiF2TwF2MV28xDmRazB98SbivPA5T/A9Z9yNs/KXfg
ak2xUldnQg3LSd89zZ9Dax3cTTXQQ6OD/CeRSWw0nt398PP259DP0YWwFZYXmaENNiKPe5oe0wlZ
5uwnPKaUBxualZ+DdeNj8CuOafs4l+n4SJM03TUWsa/glwvIbZ0gpYLn/1iGyEO9UvPR8rb+qAk6
x2Qy4DQ0f3DoHLf4u3URU9udaAi/MOTDXyui9qqQ7HjV/vh3vr9jbk03S5yaPFotpmbG33r4Cicj
kxI4eRI/gte+f+fnoLSOTl03v4PO/SKg2F7cDJHGT+LwTXW12Eyw/h66wepdrMlrWa1dbhLgdgiA
ySKCKHAXLd5kUoExQ4guXxajXDZu7bqmNwFB4Qb1ILpFN+bL9Iaw3LTFECSgZZDwhNBUeIr5GJ6W
eP5KeAgJmUK4YIF6qR2XV5+N8qrnJhfpnJ768TDpCnSm47xgMEeffg66lUexDNCoSTc9LbpEqiep
t305UUSjvOhXJ3ZIArrfCAl6hUCW9b8vt+jvGIgx6pHH0e+Ch9pBjEqXVeQGRPRmTfFMgc+a8lBF
uGEQxMg9iI6viWQi91o6vQ0tB7zQApdZ2xz0eHVWom8/0vKYIKB1IFJ1b80gxoNBcObJW+sTQoIW
wrYHQ4Utw6GLbaFS2jx5rGQFn8MFFuGA7hEmKdYEoDRgQm3ecv3uU5H+g047WgSYLOmxBPjMnO5t
QYbw0AqZKLa3VsXfECuiTRppnVlfeCAJ8KSh36LPEE+6yJ+fWdMPNzksBfpn/+QBB1LZz8ufQ9hG
CKO7DqGHpk13S/nu8SR4xpTPX4MlQcyblDcpfVH0kzXbLkF62doxPETixrn9ilRQnRKzzFump/44
yOmTEHg9rUZ3iG0GwuDs5pc+jed7RgWtPJtUEYzSHSNLm3OwTLueRQ8aK+pDu8ThDv+f3keznZ9B
BmYeD4ouSqvLz6F1gv/3Skj7JQliB7H2m4y1qv6LbBa4UtTWpz5s/KOZFo3mPKweOiiIcMf/WPAz
XyQVKKWQdZ5jYIm72Cdmh0Rss/+pwwFL+mOF1Fg2ki4qBMLfW6+urtVo6BPSntUDCP7vBfDK1fIp
3VYpLzwAfCemUaFJamLME2yHTrXfeQ7zW70YEK+SlLuf4mDvVWG1uIiw3gsfRA4lENiRzhgfGR3b
3CypPmK7APClzfgWCAqIKUVDL2Vdf5SE14Xiyu682NQfrE5+0U72BdUBxrfB6VPVD/oU3l9xVRcl
MgEPFcZ9eNXDL8b4tANuHxUpA3uoHXYRaRP4iPNkCXjFsH/6OYQsevdAx55+3iFHhMe54psGpe+/
H0CKYd0l3qcuQzipWLWv3rCzE9O3qOz0La69ZF+20fegxNHr5Wc/8Bm2dV2/Tny574FgnkavWrIA
/+TkIYK/ScZmQXcAYcgOJPxLIjgKrPO/aAWAXtQtIHYVLQ9RO6xX4+DMkFT+ptyNm7RbzFY10b8u
SLsNNzAUc7qA7iinDp0uG+McWTB+GYcSCjtMu0JjfYeWG14HYshF3A9BC60q+3kfWcELRPTC/96m
/SwK+JoxoAzskWLWgcPSFt3R0Hvoig1PCKU1YHBUufNCTLdiTEDs3HftWJDEeA4AQmdJmMJ+u4eS
jQvq08+PmJl15zoGpYLbQcbv0E7fZRLovzKRL9I/NTABLnE48+cwUv4+ZF6Xp6yMsxCg0XalUHV+
qhyYCfAUY5EO4JgH/hRMotuHwGn29Zjet2sI24zpB8s7d4JQbifIJlaf/3tpF1O0/hIiE8nBn82t
/9Yz5+9XrpeNL9GT+6XvbUUPpnjoqP/WeQkqLepmG6LFEqTdpZo9wZhokAKDdyh6yKUaG9hC2Id1
XNNmi34vfnaQaa6g/y5pOQ471Osor4J2fqBLc7QEK4KZ7L4zVG5b6fFtSH6RZpyvDxMejGuMNWeT
DOPfZgq8nbfqJVdJMp+5RWYOG4muMIjmA0uXtzBVYt92CFj7QfcKIMSz3kPjuSgTwq2QYmfQfhg4
t6FATDvF4/cwz/6bpyn03QkOtmMzEBnN1bGHpW99tMTSBt8RMsFbjs0yT6DhyamD3aH9qL8ab+mz
ZkVn0jbjIVjA28Ve7O9kNdfnn0PgiZPh9bJrUGJg7pS6cKb58LsRqxxYOKi30P3RP/onMUBYJ/Aq
PR5tO0SfcpSm7xHJmt1q61tDWywglN7WUMF9DrzTYEiS6a4rtyMBnR5gR5JHl4hdSOwF/eqyC2O7
bcAmX1oW4dKhzoWgc+3sN69jO+0tsPhfXUVt7hEGDg82L1vAItp6KrdIVg8XZATIQS4D3SfroK/K
2AG2jmtfuL1LaZ1Pr2IGZ+t5y7uANPJXRMF/L+5f8SRE0LpCVAPBPr9YwQDuQXelLx1fnmbEzwCr
g5WcVtthcxQk85hJqkz3QfCaxvgbVFs+A5Iv3MdIh+FjqIV/0pim83gY3McSkYNBXJSDQloR6kzs
ZWzY+1xBGsAUsFzQ3y67tR7nrFEtNorw7w/x1NHnxV+wQvrHiGrvqdXsLUJsDBMkew7juodgAy+i
99XwgJjeL91A+6xN9TLFwXQbJuTgcBc+/xyQVnm0rRedsF9TAr6wApD9/zWPPx3kz9eATDIAB9/K
+MMj0pxII9Zt/9maZB+3dVtMo52KcMHcGtP6jd/J4tTHWcYiUp7ryWdhwQNsOhHfBwCDcnFtyfQ3
8CUu633Lgp9D6eCzu3TJQxPa2+LGuGgiDEGpU/TBww4821QGJ99n/DQ6ZvZV3Iy5gK4Hf6mf9u5e
snxPzBfUP4oAw5GT6WxngzkEPtqVV9y/pGB0Suwb87tZ9Z6PuCxbeC5632nhNjUA9N/K9w9x16av
vW7Wg5jrv4LKS9BgFSbG+Lcg8WBecwgYzeSuyMCmO7essL9EQLZdPLu8TGqsgExVh5/OcvD4cmuw
lwAeNotfPEMDjMHHP2CTh+maWF1mlY9OsAd2dJgIpNZgdhMGIYR83DigBbtvhtTi/jM+j/a9B3JW
SyIv06jkhSpVkEi54887v52PKenai1PPkGjYQzMH5aPHvOcF8HZQpwwewAojkTb+w9jzapu2c7xR
97c/X0sNlgxr7qFkd99vqxuUf5qbCS8xrvwZAid2EQyt889BxrE8WnwCzhN11tPN4wrNHWiMk5sn
H9QT9cGyJsspHWDAKuydtUnKOTyAGcK9P5SLzobZiXecHvjh0v2uG07xlHbiUBoLMzSGmWyx0fsG
v4kCgp3YSxPbs4Si9xuDTwCewkBb6YAKYeOv6lKTtrFZMnF+YdiBrNe2/iVGpCuILwBrkn43+TbZ
j0GsnwcS4Ilt52BDBwBCnkz6cz1ExwWZO3iSyXla45ZlkAd5UesFYRph+9uqTyWSk2+hQrS7M+63
DhHuqobYHThdosd4SF9rxFax88CaIsw8x9f3Pk0BTfgUxuNKY3uBZnx1U424+hzbbt+W7BtEoijm
sApOCLR9AEQCstGZpgDEhnHV1BC/9EoyF5XqoGdExcekQ5LVD4O46Ok1nav1O+oo3O+lqq84KxPs
cUX2iMA+CBZVF1+VolhLX2wluIyCxx07KSRMINWkK9R/nPxwglufunC+tXCkbsw0T5Gd5z9yKK++
a4ff1DdYyJMkelqiDluOdM6dRQlpokxosKscABY+DWRXYd+SQtp0vv28wu485sbT9QUxNHuUCnIn
ixvsCXCve3oN7LkfP8q6ja4KEuCexuZf1eDdjxbw83VjCd1xHiPz7ISCJweciUj40riHsIEGKB+h
EdT7v9/yrEm3BFumINnOgmMEEO9nZxTvXmF+XoV1aHbYieFND5U7/e+wmuH/fatbiiFyxu49//1I
DTpqSJXO/vfRfj5pfLdJOAds8/ONuUYz6PuuOVlVnpRczW8/RJ1qEbCC2dPWuype+akcJ3ee4xEW
P9I8IKDc49qVy2O/qo1UM7+VkxnqfP0j1aQeqwDfX0KKU+n1+c8PUm4p7uAA+7iwoD0m2IQuD/mD
glF/lvdDLRiguP+970EApnF38xCG/+MnDNkFNerHKYW6uRg9gMwFgbXydYvt+L6IH73wGvFbg2W0
qAN7SKLoFzgZhPUjsCkJISxvIkTjw6bA7YwqndI2U0FdFxAPDl4cPjfLI62qxzng5kV7y+8aFsU0
lqAEVVFhQbv8H8LObLdyJcmyX0S0cyaBQj0ckmc+mqfQCyFFhDhPTtI5fH0t3m40OrOAaiDzApEZ
EVfSId3NbO+9DE73B3K7dkjnaGhd6+Y7eXIAauQFlhGOyNVBaxXasSpn/WUxFLk3BOSusnDGzaWz
n9rmSn+zlWI5bVlRryd94ifvWc3nVM9wo+g7jskwYCh3pL6bk+G7icvpqc5HOyDbchJG6UVBpWGo
xrmTkePRxotoqBZ9DzO0yNb4asIVu/qzpN2uCsh//Aoj1ZHA7VvsYjWBH2KHU0bhOk3tuZDJQ9sT
FW/1VAsN5n5pN66XlmBdJbL92GGqFDMUBummfWS13n3nrEBkGm3nu+u7ZyMH2ib6YC7PjNl+TIGg
bZXDvLOH5K2tSp0zfw6XYcRD6Q5FaCZzh/AvZ1oKZz9Ys08AxzVDEErBwDwuIPhqBCVeHLmnusGK
npIt1xC08/JcplnDCIwwV1o3D6NeXdKeKWVlVH3UGt2xTopvd+wfKlLSWu7fJ2b3npEQfhR9dRt8
dfPszg2Uw8yKK4w8hNacOoYPgATwKo3xTi4k9rGlK1xbYnodNwnF6rEBGdRRYV9O7TVf7TPq6bpL
MAhuzXogumV6oXF8SCDrbdMzJupierYadBSpZ4R5NF8Mx5nqI5mvdo6LiQiqd8lWbixbY5QmyyFa
pYW9byzNW5G9y6Z661aPuYTAndYJO+ozca2dJHnqOoTdGvWGcdKFOfT9GJMXaHRvOnsV1zkpGeiO
ixVxdG9Pp7mL00GFsTNUR7oYEXWN/rezD46NlWzuB/PaVPVp7WokbXhXkSvah77CEq0lwy3u5e+m
z7404o3BmEz10U5tiwY88TAsz1nQS+d7zjPCCkrKSC2TJH+WG2GR7XEAdzQ21e9k9S9jm+HoxxeJ
GzIm1pBiC6gKnsbV8I6e9+Oo5S8XPCMDw/7bfnWV9zEzJSMLxexdLs6tFFMWFjE2KsKv3EbWSlir
y2mJHb5K8StJoGeQFHgYEUzwzlefoD8XHJ5TNOsrRX4i5wBDUXzCsBJp3finG0X7iHjKX7gsF5wf
AWWSRxigQyfq1v68PUG1lp+1TrqnscS9WSv7Inn9cdsmNriFaanUrvFSstsjconeQdIs9AXPOKaQ
Lan86k3G41yI+rBk3S9VL3lg6kBHrCEeQzy6TRiP+9rwvDvYiWiPo0Omy/D3Rit++wMjDaRh+qup
hKpZqCPR+2q/JkU0Sv0u5YOMtCrNAw+oCGkLeAqj3X8VHThCbOx4XtZ3aTSHvtqyj2+qtssjPkMf
k1FrRf5YP9uT3Z+qPLkrVAdRRbVz2FtI5G6BFMg8NWxLi3NRPetGbAba5IRNPH9Yw3jxVXWYZHNS
fcX1P1Q6HhAld3NOMDXGQ5D7uL+ENy3wCDTtMTlZQ1odMi3n0FXzCiwt/YmJS52xTNXh2BMY9qY6
UqkwT4XA3kHTFjGgM/fJNMCTGIj1luZLOq8a+qizNxqJgyY1xsiZFeFXQZOf2fvW8m9KaQdnrlDq
hiljMBQ/dK0eb6kfG9sbignd6t3ivWgxVfEzpA0S635P8s9/W6ax2iU1WS9vcgLHHz99QXvW+xfL
sYZj0hMAbtDAebO5xDNtwCfqBG2ZrGc9SU/lhLVA1+FOzC7lxyxrATAgxaG04PBmy8PFi6cvTDMF
7l3rsTXbIJkSH61pIIVgoNmRKol38eDdl1LLorLq6VyJBYzYr5bZwCZldvmxNMyS5BkHIi4vDIDk
lnNsAxxjnBhUl04GsrbigXDpSXhJFvIDSzJchsG+LUBcb8ao9vmiR4kxvinfZB6o8d1aLZiIrrmL
i8kKddee90Zt1PCdMhKP20hfNWhDZW+S9J5Qcp1yoENGuAs4Lsh4UE/grSQrN+JQcpLinKq2uyLe
fQyLuix1rO21of3y0GK6mrNuuxPDghG3RtoUHVsmWPwmmudfVZE/Fik5tHH1NGqC78FyEHBarwnd
dvyOJ5zX1VJfUM0Py9Q/m152trSkCpVtdftlOJM0xVG6MHmGEeJffDm+FJX70SwpKFH10vZditXF
xklUushEQ/vorasRrRpqlKranzIuozzX4qjQlcFBF3baQtpQErRgJHSsaogDiMXUdMsmjtDmNJl7
P0yuIj3Zib1XbD6K3AHqYOj6g409dmcRVFmzCdE0n/eubZBisPKD3+jkYDmWae41biWSnklCM1B3
kdHF5UXP/iwmThyNRIeqNe9Jdw0UeGIfzSr4lfNQcfKG2aSbFx+KMRYRQv3kMveLvWCEo2CufXoc
iam1GpBULRz12POlGbVO8l6meGgT7zXTqEpnZme8JvF8qhM+FMqxfkYtbVLtU5aUk7lPMtgqzL+Z
zdzprk3n+JZfKHWdQKQp5m+ot1x/T30n6WgzMhOVHQEPwwQGq1UwkEEIwG+eeV2HITgdo0zvTkUz
JbyLOoPxEoSPNr03diffe6N+KUfrOR015GwF4LfWTDKjyX1a6Ss32XIZaxzMdo6G7i3Drbaq9kY9
apNj9PuTRpxKI7aIV3cTS7/NKafkgLADuGOMKfmb71as7WOnE9AbcgXzI8mQAGoGmWVdRWrrj814
gK/geNGg44+3jfnbz/SnYhjulN3rp8ScPyWs47HwzaOb6p/OswEW7cGdfVwPDiwjelJuHv1xxW4e
up39qBXGbq5WG1kWREV2Ndq1OHcJz1Qvs8hkdBaUsb0l6olXpqN4gM1ybL8GR2r3XMakL21YAOm6
Q9GjLWilc8B1jvPtAaSrEWJb5qSI39phuiyda53hRHdBpfe/eZX+qOKj8AYZlRqA42QCoADz+q7E
xElULshjNfIy9CSADYa9VSNRrYto9d0y1PE2h5Y3Ct7C2Sa1ViNO+D9Grb1XPdl/afVLMFvxhn1C
DlI2I1qyjn44GiNxmr6/ZmM2htIZFWE59aM4DS4lXqbWVAAEBOr7lOBn13ocVqN5bgbjsNbiebI5
ppw49jYYkBtlhOLJ81OvmZ4ke6MHZoGtDGe2edAw5vnOjCMZwhiOtHrfFLV1aa38S9e4PsH2rAst
iiU+BgPMRW7dx3n6RiI639sbnEdYfZj2xZGjHyOZgyhkEVbTbIJey96qfHCSjXdmiKkTDJwCq0zk
PlucDCdUel587tWBYERA8/u7XT2sFxKFOfOML+yC+k7V471YUpcAFghBBwJ4OUVejhapCbzBs3qa
St5Mp1r0HdWRB7sg8199O+CmaimOMQWmX6q0sTLn6m2Ky2NdNfOpbNSn1w+BhOabIOkEtFcdXwie
87iyTlh/qh2jWIjTZfyrHX9BityCk3zP7hozEVHGpe7hE0mjxZiGuRNs2so53JiHSq3xSWXrM/4X
THeZ/5F72s9Qr80+zzzwM1Cv4xzDR5t7vxanoOWqnpw43Vy0GeGvojxJs7xXfv/DcPc15fQkjBjH
++4i20a7dg7oibL9BSz7qOz16Csffoc96kHVUnmI+Um167Dvq+ZcZtVC6DE7wJLW90QAKuJ7GEUK
/EBu6nxluAzDMk4ZfKjXcQVP2iamxJPAbGNMUvu6YmJNWkkERpYwjpfmqzQJcE7E/ScYKG0KQft1
xZZfLxgTF+3s1Set8/SD5TYGOZHmfXH1x47MiMJbeRnW4gP2nk7ngZDpL6vcGZ3NR6k3ZOTIzjGl
X0Pjc4Xcx12IKdkr+IxS79ar+r7THKIsTvtKDbOPtQHlzfV4bfnkonp+hZw1bby+L3wCxpOVqe9E
I8ErXGyUmckBzgl5KpUjASbEfSi2mtiwW/PRrb1fXl/hTOzvs2pgfF8N8aHRXDSMUnw68x/BXDnX
nfdcJ/5q+t63bNoQ7O4/bKuXqRs3r2zy4unTcCJtiHgwEQlbne1V6KNe0aJqlXnyxPIMQGEH7PYh
5q4N8s11OA1mkDnJs02CGDsXIEG9wERNp9IOWBSXuMrDyZzsfUPRXLpQT6wEn6tU8jCWvIDrQt4B
6ymZwpwkyUBwSSUp1u3B/dFX77yM5fPYGkRZevtuxF2gM1UkAp2AiQPyDXjHuToXfl77EbVpl3PJ
gcCgO9Rsanwfp6/RjETnG2uvdJqYsWi6KLHbiCz5s+aRsCNehvqOo08ym6VyE/AJdCxMhgm1pMmw
YDE7dHI1hV6F5Z/Ab+VDHdFioqzTfCG6EvLp/8p8+DPzmH9pY3eIE+iCLoE0hIVXRMHIrWjoVIaD
ul2/6XCHXRyv/HlZnh0GvWOY8IEEHj59jfStnX1NA7mTIjunvfwcOvoVV+sxpZbFbwg/3q6FONd2
6Z0/XHm5D+7Y/DJGkluoqA+ZV375pU6vOOCWHdf9KjG5o1V8V3N3Torx2lvjsJt7dYOCQY1sdM+r
ZkWW1uAd19V7Qhplt+TxT7bOxyLlbPIMHhZyxtDFd67bvk++dYsNCvZUtzgo5+uorGRvTf12Nv92
0yxS7XXVnoVkVGQYNUU9pvK5eGon/1qa8XlVwDrtsXnpbfet6jH7rDOl6/ZVd+Xw6gBEqBgnZb8Z
jztYkwyoT1rz1s60NZ31qo0DmcOGcYkhpoPuqx6lQx1AhyAZJUODAWY3zOgfnlE/pcsyhdwPZ8jh
UWedfOqkhE83FJgYjsuwvumVrPeCe5Lsnlk9Luh1vPlR26lqt2wHCGSYnFLB2plS1LD78DC0JOth
2sFgEyXRutp+1VKSn4zQdv5gwPPmxL6OYC3NGq6hK6jSlo7JZLVlwkqinTdLG4Ydpa0MhqRl8Oy2
D7OPF7Xrxq821d6ZCnT7uJkFmqv5x3FfcOwDHBj5lAhe6NF2WtSwx0CHJzIYyc5tMaoal25q9UfG
qff4if5sfpsEosS+Nm3QeBoWR1clEfWGgXmCIKOcnbd1HF/wdwBMc+sXV6+uZRrfJx33kSu+zfTH
Tfo8HCXD87RK7wpkYCAkH6jXU1Dld5MxXuFYvJpC263T7ASGy+tE4Gibz/i/NUmIM5fk3STpYri1
BgKlB30OTY4teTz2evZokgFitjAdvEV8W87wMpN2WOlNcmbGmtU8pQnslCJNce3WEDaErL49rfeP
U20bnIT6t5YhzRQozqG98J36k/WHMUy7i01SRHEud2NF4+ii0/Ao+fwYmon7hgq01p7SmksQj04T
mbQDO11fQXlnhBFVUA1ahkc4/jAECYVEEphpXTuKsVvfUzeey1rdVGcdtYqtF6V/8lxm5+30q5Li
3sAmGWKXvANn8WCOS8hk6cXyScZlcERol+uotRVRR0ejNtThABpexdkHOiToHURKp8aqNZjG/o8B
izHyTKgwXYlzeVzs7kCZaazYT1xd3mUOSDE3GY9LSfVODbmQZW79QF8+N8SM6TCbdmacjBSPL2tS
/yGownA0V4TPSp0CB31/ANBlwfqiGCv/2qv9pZfDC00dLIYpD+GWXmPZEzDWSPI4NH9kdSWEEJ56
jTHtrqp4zQS4paWP7buSpqhBvwCw1uomP31XY2bmHkjn+WQ7Hkqh/az1UwHB8jBZmIu9KWOeOtDl
tVr+mGMhWLyBIYGjdp29WGFfmw9uW/9GLGhDW6XPCfbFBDA5h1AWDWua7HwvMU89nJW8d9/lWHy2
+PcWBM2wco2bviA2j7hspltGZHeaAAnBV/Ij2YC+8bApiRk/cEYcG8QcRMiljal40pfet61A1LyI
jXKpZpwnw7DTSI5QGlIve8viurgMjd3u/Qw+qJhcpondfebHamcm1RIVKw9kyTqPKSbRsQAgqTvt
Nwpoy19/1FL7WPtDeuvsio8k5j7O4imEpodis5SBNcXRvPLOUTCcVj9BT9I8NMNifBdVk1xxU4Gw
onqBNKhvvB97Nqxdh1QuXe3BwXlwxma9oSl7TvEx8wPTf8uYSEXgTOpds/F6Ov9XKrHd0jgwyp7t
v7j4153L7Rrytu9xGAViFe1ea9s+cFaGnatPsFyhJgGc0Pmt0v+yBO6IrHmAvd4RFscxDdwWoiXx
vYgzHl4OptMyrjI4aNz15LCOhq6OHSmkoHBjQtbiunrGUw00YZc4/iHFU8GX7U54iky1rSPY1dAZ
IEhQNGP24ehzPOtm99N7ZVLIjxWed8IghLILZgFLxmir8/w/mJ7AwnTyQjdan6uGXc9J3zITNa6g
d3+19YK8LU+tvqiHRmrnSb91vDtl79nBsArYdtvr2o/+fBajGdn6yH0zpm+JOMfW8DrNPP2y7Lan
9y41qjc7BZM29K7EjixgVxaZdyPjo3Y6yaSI4uutGSYBh3bZ2876kVgGkwUn3qvRfnL1BG8f2y9U
BQrUE+q8auKiefKu1pS98wX6cb7Qcgmm1NlEJGOhxF6INrOgJ32oHPEdK3pqjqszrwBeUGu86WPz
ZAijuVYqOdKbVztGAPd6l3/ZZocypg0bFueReEK7fbUDg85zgVUhGvxE8LC6YYMgdwf/OCXcrH3L
mtrG9yLMSD4XbrabpQ4YC5apvbxOrjecyCPEuNSCHBpM2BsUeWOZcFA7uRXao31zSBcA12yYIzsv
8lXL6y3P483Aq6urGHECaaPiUUvmSPo26u4M8jxxAZ9URXnMy2G//Vf2xV3eecatIKQfrkWB9xib
CuF24xFzmIfRff5kTYKN/rgHARbVqTVTSvJuGzZC5czQkpEJ52lhl9E0SEYuGuSurqc5iYs9vdsB
P+2DvWo/dd5EjQHSk8smJ3/nbiJCeqm8X0OtZSfZg/wC5bMztAQ6qIvD3kz9G274FGGZT5qR6N5w
yEkIpybyWQl+cp6oH1dLpYHwvJUKljx3mzKMcJOOpnvEz06gwtwr9ivF63C3kJOya9GCFuvfG9jy
UZxt1iLtPAzuxZjnKJF8k0IQQch1bT13vYm/1Dh47pA8eh7tYpdRYuXc9V+Wbd7PyUiTqx7BUctT
anoXbat6AaOve0XEfKcN04M/Z2W09taRLNJ4l/Fo5R2TdTVA8k5EemKP+c+yYq/RbRXMmhi4Vdtr
IgaGRA40YZ9JgzEERZP8cXonhoEHMsXifQ+bQX5jB2E4lyNgrRfL8uzzSJTaS+oH3TffN6A0C54s
nVvHtNw5GO5SVkwFNv84rIN+VH3x1nuJ+KACTMhgxA/SMcY72vjpWrNMMSxl8YaoK26FN3tnfwMI
WdOzabdf1UT8c5Z/INXYWAP6exjCqB0C7GWWpMnVGj+MUteuVtrdAEY7h7xPURXalsPbKCJRcAT7
CykMdyUyVmRYZ3K468tHoxBv0p71TDnO3lBvUdlrs7nVT2IYilNdqHBA06GzBTuEa3Y9zIvRRIJF
XZwrQZqweKefgTJA8bw0pfxr1qomVjKlG0uJxCREv8gT/ksG66TvKu4gS5NH4ZGcwFUS+ROVnbKs
5zazDpnl+vtuzg4+Y8d2aez7ElLHM+8W4Nj+Q2o4mUsGpnpk4JT0m78zx74hGF3Yuo4SONEfjNqI
MbKeOV9jZOQusVFCQQ2A3P0uxu6tVf7NVN9uK+56ws7J0lUfDug22rGJ/tVqFDp3t36ZCZMFK9uD
VFoCY1Az4xB1NmAIXwr7LR2c/GwnjRN0YFeCgXzZnDMRAe9akhAF5LHAiFqIxgyMmrxWj7JeRvPC
MSKWxA31NH208/wZDLlzkA5Gz5lARDkw0HQTstWdlO/O1KchP07qzqK9aN3mbW0vfZ5az1MCF2FL
1lgij1hy9qNRyzk0dZGxXnvUoUNjuPeN9O+mhIGwrhbzkilrPQE0YT4M2gbqQgKqbJAv82BRfw5F
fpju/dWsT6ppfk2liHR9Mu6IMBuh+Ad1aVPbKfAsBJVCjitQsGSaDm1PsiSpuofCH5s3KJWfSaib
gDNpgzDAMmRO2pWbYXxNXZ+YIU8Uffa3k8CdGrbmOuWoTHW26ThGetMBnAeDOwXGmX1YNBcLiDCH
EMeAxo8LL7vPbAoHW+pJwOX9t3Dcz7jLHwq9qfcLYgQc1e5FZ/KGyaEM4B6cEoHGRg1A22Ma4F38
SKNiZy4znxFIHPnixhtUYCGmAAEAukyPJX8J7WGxSK0DttCMYj9b8sUp/3rdZN0zVxuxWWZryT2I
AfA2Ce8B4+zVNrNu39d/WuHb+37crDQcJRVlHkE+TjO7aVBTypY5cPyQT8PnnOivte0wgqT1LQv3
qpFHSwCadj166ZwwqqYeAhGJRsHZGNr9J5YVEuK48cNpUn9GYD6RUZVvGG1nsD+8XoYqXle2QEHJ
C+KSlOfclseumRRZVirmZCmPw1je544nItluVitsJSCex4IDxez5CWX4VqiO272o89MEXqqy+5h0
jPPSTmOIvv9JI/I7GSlh194Z9sJYDrLvQN/M8CZMdAt3sO/mPgMnMb9bm7+x7/zfsdP8tTazhWtB
r5XMQIQUitEObArqn59mlc9qrQmmM15pS/jT8HAyCIE/+PSJCo7eutO5HV2h7RsUR8eyHliZ1ogu
O9gWJbrXflZ4qwJITi0vzVK1X/jkf2NZ3csFFKngmxVS93ZGPeGR1LyX2dJ/VUr7o3fWOfPt4abm
Q90mT647H/nd9xpdR1jHOQw0I5sjfLq3Fv47T42twY1AuEh07QXkjB+s2rz3JCGVSbHLrRV7IjpX
PCgEnRG48LhXjMIgMiucCOZQ/1TTNvYZsAp45k+szD9KvEp4cwrxY+9I0N5p71thPRH2lpr+xy8w
0AoPb35nrnNYrmI65ZgB/L959UQu4bMwy57xzqWZEGm9csmPHUFBpkigwGaaA4sabxbODfCtwuza
yfUMyUIg87CHoy4+4tJh1MSRvQOQ8zNrWHjNaioCLO0vbiY+LKQXDA/WvVPmXN6o5HkKypRYSsr+
iGU+gITZNUmAf+Y+NYuga38a9wgXO9vrsvjNvkYk5W7ESrG6MvIHu0MApMH2oOgzHE+DpTeBohf0
wCOgEM2x8FfUy6soxEXhYV4ZzB9Sn0iaAZQlwd6NqS77g+h1IR5KRF4TWjBp3u+O/VQANMmZJQP/
C6Um2JdnHU5HO0MfkuM20rXcfV5N1Kfpu3S8J9ZD7NfFS0/G0N7XOEwUvy9wY1TSBGCB03S8gXn6
yb0/8xCu2EPo0aEBThwGOWA0z38DItxf45QTXJd6vI9960HvKDIMqS6GzxIGL+vuV6Ii+2zCCOcT
rXe0NhQq5fhlI41Zul/CfsTVeq7c+X3JsPM1RC92GdIKunknQWTj/TikbhcmSQ500IFKgZ0aGGUB
6W8TwkZ3y8axLdHw8guR46HOfzhOFXJwZA88A/k4mYfUImpaZ8C1+pLG3iT9PKZraE+Qq2MaIWj8
mw9OffeAa2sSMlzj8WdRk7Fw8QgbbBg6qySk/fejYeBLdBRRmNj8KUXCLoBuedNGfogd1nEAQ6++
PpNvbWSNBtTwF3rLcZiKB7ekbFQ4TuZpwZKYINri6A4TYinXZS6P7nhsdb9AGzB3fVuAVypGEdHp
Jdgh9F94SIkQZsMQFiVLrVJW8Vya2HpwcAplE6mgwTT/xC0TLvK8N1OPteO0kj8z3UqE7lJPj4yx
BtlcPDyETm78KdBxxyQ5MrWZdy4TyNNiQi5E3zn7iW4Hppva9AUN35P+HOfl3djimG352mt9wUw0
mp+m1T0u42RENZnSh5W1fzAzTmltrudytUVkLVDnSF8Punhp42SkXE+n/TJ3X13SV8cMe6HT8ZxT
Vn+bMXsKxObV7+t7JNvuvGbNlw/ImHR6ffBS/y+x+Y8V3Gmem78XYS5Hd4GlpPMcTKrwkADWUHeW
R2ko0GGMCJrOLi69XZ3iu16U3qMxrZdJ2snNJtoVEXQtQ9mW46Vt7Sf40P2TtUF+FldyHa6KMfnk
bC0z5gKKzmtj+7B+dMvae3ptREIXNevS2bWmERysa04SsgfVobEt+zBTprSVFqwJHpYVHNy+Tbes
PMXTYe5IfPvetIZTr+ywNTSffrq/2EbtHhQp5kjjcd+Z2lYxWecNacdeB+MCyBfYBGHHYMjw5A+i
PQDV93cYj+u7qScH2J/5ufmBphn8/8zCAoo6LPamOlaV/cypjwKPxmFbUpxq3Ms7z9Gh54HzKmJ0
qqbOzp1JCyYwfO0sGKBjanxKvshICYa4mp7pF13DZ2WshX3X4mWOs1aFK3Ujn8ldWvTxxcmKt7yf
z3lVMHCqQMICdmC1RvZSegiHc159QzLbz0odiqV6yrCse6l29EtmEaM9N/deB13JT4PJ4dWGMUWS
2p+WPZA1sMAzM+zagu/izD99ad1yCWdbYRuUcZ0d4rh8nBoQdoL3INQz76+etNfJSk2Y1OXJNpuv
Bjx44DGpJp2H+O3ifjAG/bcbGxPIrIJxyLDP9NbFGq6MaB5d8I1t8uMV9XO5opLJTVQ3KXXs2X/z
0+w7tlmFY+q46/yZt6IWOft9xgynC+cN6xsAluV8mhDX0cQ5GgtNJ0BJr6LhryFIeGRhAbApldsc
FOLWmxxtFNsgXaRgKO2w1IkE5nVKlufJykgJpV9+gmd3LSqYmmmUsjDp4FLAs8jOCWNct4OjY8Zf
POc8FaTGe32+iaa7QErEnYM/dUQy/p+XgFn/bUUcKxpd13PMbREhS8C2pc7/zxIwpjJK+0cor6mm
Xnye48Xy168Fp/WOWPylYdPRncgd/4JWJSN9db4oE9Rx4eV/pA15Hlq9+Rg0nEqF4SFKbzYrNt9c
LPgy3CaEUbSB8b3WCt7y7NmWmngCS+twJsvmZgoLIBWrRAj719hIK8bGS2E91Anz2rqBGAS95c3O
zQYlB2t2i4Fxl9bzvWaNddAIvTuiaPX3rRv9792w2UAoKjFYjr2zluJxinHEdf7i3mKykdH//MMz
/9vaNldQ87ogvk3Dcsx/XxBt8mDjxtHwzlmdsy3WcaO4Gf1z7yHWg/oB9y8g5qwyXNoey0Nr+vsa
Ky0F5nKWBYgSE0EPL1yyL7SUToxdeYHRZUcpCxZmJBCNRGad8pblHPnM0NTsMaoFY9O2YQcw6dEe
OwLT+nzwK8u6mE3JEuDJRVetEv/FW7QQT6/32I1zt/cAZP9/9q/p/n9b+e0yQBHCNIxtkaVj/dvT
g2cRRIuJVZdtXiRqGkd/aOL0kg9a+m4jezMvTND1KjT5lsjMhyzTv1M/Yw7KaNdFmXWMrmraJA0w
coSbeuFsqpe7AnQLKaCEVNVo401ldvjPCukVvhhO1XPKypkjQfn+MXX4h9GDf7MaECMF222uVBZf
pqy/ezl9AGXewIC9Ec5y6sjuouSMRv46+TqevoE9btXghL7ox8O6NPrLoOnOfrMnRgke9p1lcrma
rdE8l3nyTNdO88eQ52qmAqAUR98uc9vkDNuqpIcBxq9BVLxzpp3bsaRD3/7gOMEya/NSnDD9bxts
CPG0RQ/zDjxNNQA5WuJB3DNPXk+zsilGmnoKOvrkbTWzQn2AHLiOCTPqluKv8oxvuL/+vY3N1Wcn
wi1Ol3PF8odjp7O72TZnHydw8tlY6Y+hlLefPWhZfYnJLtkI77XB/vJ/FrKWhVVAXFagXjRNJ3an
63dSUItJCE3wVba80vGf9Y2dCSB1cVlBEI9jBvDfe5hjYD4gD5q71EbAAeb6vbASbNk7G4M+hYFD
3kC//vOPuXb0a+WLp6V00198cSDKR05Vc3qN+9YJpxIW0D8L1rtGxZdm+GIlz52BA+rI0q/sgIzj
fwFbpSRfsKu2EjvC2u+NlpczSlxDfI+gSwKrc28ma1rvUIHwwxv9PQq5F06pfcZOZ1/0dsWR7fT1
Q6oMPD6j9e02k0thjxazbIIeY/U/5jLrh0GJOVTQyR5X+Rti6pXns2JpQb3eDCNpI7/DLABOENRb
06WPlRLvWZMVsF3AG6WbaUFupTP6HnRLSJk3z8H3JmYEzN6UL8XabdDJtmcOCX0cbEj3S3CEFPl8
121Z6HXBCl1oLFFk5LIzUmG8Oj3M+QXPdbimMBdtc+1PEM3qh14BjW5JFIfSzQVNrrJx7hMYjK0J
aSWZCvIAXbH/5/D7X/+y+Lr/z//g17+bdpHUScO//fI/X5qK//zH9mf+7+/51z/xn7fstwQv+DP8
j7/r8Le5+6r+9v/+m/7lb+bf/n++uvBr+PqXX2xbKoblcfwrl6e//0XZmWzHjWTZ9ldyxRxZgAEw
AIOceN93JEVSEyw1FPq+x9fXBhTvZYaiVkTVxBddFDt3wOzavefsUzVxPf8W3kc2/c//7Sf/8TF/
l+ch//jXb9+yJq2n7+YFWfrb75/af//Xb9qUd/xf//n9f//k9Af867d9/SUOPv78FR9fqpovtv9p
qpK7Ylo1VcO29d/+0X1Mn5H/lBqNZUcST6sZDsGpv/2DTar2//WbYf2TNgzJSIKhv0mDgD28yprp
U7r5TwMjroq1UE5B2Y7x2//7zW4/g4Z/vmW8Er8//0OU+Z+Sm/np0jBVY04EtYxfEpEzk3SempwD
Jg4695oJ/oEljWk0tGao8MiuklNp6c8Gh/GUjJE8mVKXpEQnYbyCXMDB1j2Vxoj30/vAHO//TUzq
r9HSQrWJN7cNW6jzbmP8Emgbdh6haAEGbm4nsOaGCHfodHLcTlp84AMODnRLDJin9rp1K4xj4TcM
B80T2NNhzw1aANRGv5W4gwEdbnSXHt9kn+XVj/940/+Hl9LkjfzP+Ft+QZVoVSFNTUd+ynv+x7oq
Vqd30GSwPzp9/p551vvoD/05kxXH4rJp9qFX3ulUj3Trbfk6uqp5rIYEPnJnA/PyMigxvhqsOQfu
eVvSO+a4nQE3ej174BBK7kT+7rKX3hFLVI+aCbiX6yxyjU11HDJZ29LI+FognvfJCdyj0hVyi6AM
LIdSNVfcZhx65HNfhECt1OhsTS4KOirKpmC46q+A6iA4YIAepKLn8B9nB1agH0ptY4GOW0xoZC2C
fDXG7kkJKReLeNzUEyqgbkip++vXc7r8f309HVuX3DLobqgKf3nnR0WACOxKDO+5coXCDRs9ovfp
EGhDBDYjlcAlRqlw9/WQagCCzWdwK+EObRYbc8jR0rKbt7/5nf78Hms6RgLdloaqT7fOH9/jIio1
EPw09meff0fu1ikdofD1jJRgzygQkVZezFgbk/uPsSCHpJyMg0mmvmaN9nelvPjl7uWSIwLXdmgT
qVKnof1L9HGZBnRyE/r2PQfMtTV5IRMZdptOK5KFWmfvdW+MN71OGCAEyDIXuQFzM+hTA6pqkb8T
SKkdyZLRYPub+8xU321kqW9GSCekbbJvbs6knc7cNEdK4lUyAgTUROQTnmOQ0ERoG/itKj6mOn6V
//NLbWukCrMIOhYLkPXLS50WpYiKXm0WVZF/MuxSrBgqkwfoe1+RbpNa17dIOJuBoNovRqdEx05Y
AmkO2TNJZparv/51fqn7eaVtjd6cjTdGCJajXy5GZ6CAzyriVFqQ9i4IecY80/lliNTkBr+H2Z5n
7P/6Z/5p7dOExRZgafhXVDC99i9Rx9jRw5DFJltYWfqimBGLiV4gRmzBKC/qYaoeGZpPMT9EQsE0
fWrGEoWB0INNEL+ZsYf6SHOse2FobwJQ3d7XaDMnDPr/ZpUWv5wpBb+p4IYQOnuTYenO9PL9x5kS
fwaud4MwqMHUEb0F5JD0mn7WtPa9Ig2ZbKVcqbZFl+svRhates9xHwxw3UPYNO+KiicXeU53RHr6
arsR/9+Mo3FN+rpyBnd5aPIW7FJSPmzAfCzx1aGsHbjJef/J6dXqgv6YiJ9aQ2ZqFP3fHJjFrze9
UNmgVWLq2R6lpv1606clCoa6Dwv4FdmqS93oghkDOpR9iyoGzoUx5Mf5wdLy/GhJ6/en8795NfRS
1QHgVsYlCI8yPeheAcRYSWOU6zqpVtI09fvPB0ITtlmHBPivryRyCH9ZTDX+AhP3tGGy0091xx/f
oKBjRhDp/CqMcbFrCmuL3LS8ERSqHGs0MotisJ7dRKRPlYIQxlYIRVDT/EMdEnGfPtfnQfbkpfAc
MlhkK08PlHXn5+G6KmGcAbckg0z3n6JMfjREzJysdqTvqbnjJilbqA2tfW/MEqOlkr25IGd3igw/
d25XPbe2tR0jOJOx2r8g9U434YlpDUIXa3Ag7EDOl2L0UKmo5gGHY/pEa/7icrDYVa7INvoksqWt
RN60WrzPm2+E2GGVRGclcTMAF8CpCyPS9m2T6s+JedYcT3+JyS9oVd0/Zwk9lnmZhphLU2iEWlRp
XbTLK4aqNGDZXAGbLRyQnvu5VCeo8dlWUofgDQIXcMjorypE3Dai15UXWQ0v2BqvoUugiibRd2eh
s2Ixg4/WqFDRxHAyoH8saKupdPYrDjRhX+5CxEZAInzv7KUNDMgSg4HKD98Lg+FDTeQzxcde6Wzv
nIuHo9X6mUY2YOccJl0GKG+V666xt9GnrRtphJe2DUq4xGq2aaf7h7CK7ILpBoFWVD3XAkAZ3GY4
DF6CnlozlByygCJ2hkIneKzd7kj7+A1nr3sUia8cHZLhNgXoHNr6pXOdH4qxZ2TpUpPBIaWB7/TM
zFL1g7rykJrfvYhDKUjgOydB+5hIt1wUUdEh2RXYSAs7/STK5lo1HonCgkWMfpVOZpGrsl7QOic2
LWv14r2xPTAkY+2dMhQbIebZo0dONu83H2VE+kZpk93r8L3qnOS5Eh0R3/MaaWqJv3QCq7ynUBp2
ZlZhsTIFSfeFBjjd70kTLsd7bcCGrbQiWEZ5Kg50bPW91YqOWSEWKEiT38vUKO8ETTh5Gm+76UKH
kp9cHdQCrqsTL1K074ZB4aUzU194alUcQ2aspyIYvtIUkd8TDElxpJznG8E2be9R0czPyIen2Y1u
gUu4BrKzUudajqapdVU8y9wIpTN3GZzZ0DOTleg9WmDSTpChqxvfc28jb2GEfDDoDvgAzGNEkClQ
BNg7lZMzXVM5Sqe2OE2qWRpRabQXpV3usDuPS7o7LMxTGTp/aWHp1h0Vg76jCyNJDLDkUZH5p8BB
VNLkJnDcwpWEoyCz8pnQlUrdbvuYyzeAxHjAOdSsdYe5cFZY77nK7EtSZ09n0WR6GBi8bfoylCfP
Tbcwtsyn+WertSTAUrQF13AdbJW46hZBJpE56sO4IRfuQ7MNXA4Yg5ajbtFVt9PyhW0R+Q++qPX8
ValWmkdahrRRnfojEHa3cj1StIKOdFTkQurCzmp3Nxc9tLYgNo+WwUQXc4fWjVvDlNF5tEC2lgLV
pIFYfaklASuKNiH3sFn+hApCOX7qg6tnYDqk9wtddHr1vKZ5cip4phPkIFFaOkRStW4oxkJcbq7/
CTo2k6xsyv0RzbdwtIDBtGW1nYlPeTHixDLL0yjSdNkYdM49L7b3rjEgcNOiiS1216082GYp3gQm
Fq/MWd4LL9gbVUlvrAojBOK09luf3MeKoTsYAszM/nhxXDUmgihVNyFOrFUAAvXh1ZTPjZPtKqUb
d3oCxdypnWbnfvPiXu5B91rXUSYHNy9ACIXK57BtgUpq2EzhdPTXaLCCDXNcEPu9vbG8zkfU4eoI
+E1g8J7Wvc8fVYnffTKH9k0L9jFcwnNR2+nFGHxEyvMOb6eV3NVepa19wlE2ckzaZ8vDkanr0UtO
NOWDu+/dIsNqU4ja3OqB5m1QzhYbptDEFpio2fOpd1ROD4D8hlUZqDnYWZlsWg76C2GxMen918A0
+u0MdcRxx5TbcPbcNuYxALoHhAyGfT3XKJF3qIHgHTjd4TdOTaL7YvImJ03JWQ+wuFQ9cwuthgyF
JgD8aPSjSMb8gIiQuWqgBRc1o0cUefUjUtpPIBPE3gs7gVEgYX2xe+9hFKh5ukYvYQlEX92KpZxA
kyWC13TT6mm+95suXTDmnPg21lrt0YGQCfjMLEVufu9pObQkN76hg1BRiI7oLjSgb1DBucmhMm5x
g4F4Zg5/RGK3NeZjG2EV1Wk+NDrSa4AdwTgPrO7GVGatMUy8CDXoVh5zOXrrWLhRO75HiXLpJBtw
qDPi49izzRX9YqpteffZUZlSErjexAOAGPM4qCQl5SMyS5S6NpQv2pJuByUI/we2wcQZNuGBG6K5
BWY63EZqv42tEm1B2xy2HankhZn6hxwExaa23YNn1foj56i3irFRrIcw6whniKcs2J2Pes2MGCPP
D51u9su0dg18lhOCWCT9Tndy/6TpRNlYYXYc7T7E/s4w2YyYxSVm2Z0PaehXJ7KTAByrjI1sixwd
rbOrBzIba5PVOzIDUWf7ZAW0+gt0a3tHzDx0XOAX7PjaNmLktmxpab5EIDqczruE+NK5DJ1rB+35
yi9obao6H580P7gyc9lNGm4tE85X4mACxlq8RFWP1lxaY3TykWqdSsBcnu6Px4JZyMNsoMUaKtDV
DvXCCMFln4UkwSaEr25yOzl3JgDoiB392S5csrsm+02o5QrBHXp5Un0ZYgUX+94ceFbY5an0zG8+
ES6XWsNeoOMOrTrEYTPxD1zBS5Fa1TJ3Eu2RM5dfR4Bkd4mEauamjQERzMIlEk8Y2MikCwrh7Sim
bystkywUhBHbrq+UA4QWEhLAr/HnBWJZscpCz3abYxTa2Ss39EZmTfJwA/XZKerkWrq5tsj0alpt
yFpMAC4DUtBf7KgjCCN/9L2M7iNzJ5xoyWo+0JBmaC4FmW5wrPLu1lX8CKqYcdXkTbhm9jF+SrRJ
LcRh96q5LU4om2oqAx9mDBS8U/pUkhIzmU0kVD31HsCo8vfWgKc0woxajoW82JgKrliLnjW/DdZ+
CATEdJzqJvSrl8UbhU7ZRcqK/Q4VMBaBOmC46i7R1vQnEDwkBKmI1xramI+xchXuvy7Yhsb4ZofF
d9tS0o0oHa6mNqtDYN6lwTF6XLUFOeZlxK2rtVK8jDHTzzoJXogIfKPP/8Dlnz5XOojbCmN8Bl66
coZHqfreES03fmlSWBaw6cUeZ772N+cIof56jJAc8lSUjpzMTSk18cdjhCNpwSB3pwsQBAcVhfk2
afr6wUHVX8UwX3TklkdfsQFA+PDibRB3M2txfiDYYF2bhnevmvLr/IL7sCgORS7NvQB8Ecbj3/Rr
/nQslRbsYxXriy5YtX9tyYkOx6ELQoLTaDwsZzSnGAN3VyVWdc4C92K0suUgh2IrM4b+9tenLu1P
P94xadPaPOpE+djWL6diO7d8R1guer6c6JwuD6BLOV67DDScSrmqwpnwsd9agGqPYeBUF6vZFPbW
z/Ipcs0hqwOnNmAMXE4QGVf+BJ9VLeCzZKHa27/+ZQ1rHt39bBlPXW5LIFs3wfpMkz1pW/avb64w
kqg0tHrSvWQdikABeGacZiR1VBl7LH2sAYS+j1uFgL2jRHUCIUTf1xNX6Vz1ZvNVoWjAAYUOqbPQ
LZYJRKvO79VTZ72pISjhoUq8L7UKio2AFbgioIhKhlEpIaiWJ+XGG5L6aEPO2VM6ECluyxqvIE9j
0f7+CaMiSFHV6k8NlO9DBMRmL31XoDIulE3NVPRqJSwCkO8iqjISy7IqxgFs2bspCxSTphPuVDTx
KiB5XdGtszY9sO0N696aLDWSCj4NuwKNuNPeRJLDJTPc/Ekm/ufAIpnAjKZuHlMkA1vZXR98dWrh
brA7Zed/PwQJErhoUIttOy0BZI13m7pxlHoPA9NK90YzWN+cDgF8PzQbPULQjCyLdGPLNl4KJJYW
0K2t16Z41qcDh4lBYKcOZBlHY0Aig9Yf9aCM9vNVnfIXBV7j3EdnbHeurOxlbjUahE7bxtk93DSf
0awC2O3d6RBVly2rTCqTLwkykMv8QBptdQ5wiQC6DBYocMT23y8PVf4X9KXlbsb6mYV/KjKr2yeg
MaLWGT6bNkEFydRrkh62f5SpZp1Xz44f9TeD6JFvZonLyRJuds9asz8KxpkwX3JvkdGS3M1LHVU7
lVB/JrciOOa1/jHkzXgb/PBb1CE2bwwxUe17bAQTKJV64cJJiFo5wAOSZP7Sw9sQtCGgUqSEFz9s
7lli9+vOyZOVNu1TrlWWB6vsd6Z+amND+cwYDT8pyecrY+jihVvUz1ZoOZ9SM3gzmaGCSubwzJGP
fQZgy0KEbr9E7vHalL11Bi7JdYOvHU6LZe0VYqR3IYasn29X/N1zyLGdF74kasiI9Ad1xciOwG32
LGIH6TVkzeChMVaNJydklK2WTnSxG3U7nySkS3idAd7IbYDqM34W6HEzrIb4mjAv5V/7noAHX3TV
dVRHdHrpuCU2slqHbRPdqU6w69dbhbnna142W4ex5Vor2v7CB3hvE/Nbm+tTohO5DFPLDUIA+Nvc
KSGWGjrEUkMVKOctmJ7Tzwhi0miUhHmrIz8gi3Wvqgz2KH32P8/aUcdUILfl2xj09Ot97Udc6nAg
vZJ+k5rsFNUhHCtVLXVb9053jIDT78rpIw4Bym6sAByx7wFcUROb6Fu/3VAGRBentHeNVkRrgQDv
qBI7BXaqhowprHzZR2D+V1lp3pEk6q9mXb6QCTcgidDMram4T5HiKq9q775ZkfLk+Mn4uTT1Iyip
4MXtIu0A+5XQt0jdEeKXPmdGSKUVGgGsCBVxymAiRS9fRrrjHyrHfwBEmP80Kj7s2wiWAB2IHB5M
JoNb31fOs4JYjOQKdcTdh4AdT0inhNS1PraLIAv9RxOq9g6JnLEaYAYy52MfZyizRtlgrkWJ0NvR
He0gnTjbRTZU7s52NS46Ihx0ixm97joB6JVWUhklQILDIl0zEkJ9HBcWupJWp0e8m7tUSYutSUkV
b2cYlQQJYUm0yFinZlR/XJIN+zWGMML7MLxF8DMWqew+hdE0ACw7uGRWGN0aO5DrudxAvQlxN6HQ
drEUgW8abs5o9jdVceqt47hHJQi/ANOvH1JNCeIgMbmM4mYLdtFaNKpi2wsYMc0GMB7c3aog5KOe
sJb/BlwGQpwLA+KpPuGZdWITLpmOKwC34Bihfq+nVIQGkeot7kfKLrTly/lpoBtES6MR22tRRmY6
GKqt39XP2IJpMig97ILEIPcJovOqtB1/FyPEvw05w8BIBeZYWvUzbPOvQ9FMoeyVC++sXhemUqzV
Wgc3n+blvsRq1GYQjMB3F0eX8zgpijs1dcJL0DQM5sroLZO1d6blEVATNvoS+4H2CfmYbgT5q/Dh
iUeNvS5D157MN9aq52D67NIvyPPwhTyc5Hl+sAdaAAgb+CX8c2tV7bPv4WNQgoSSWjivuqbEe3Kn
YUyiUELihodegG3eDg0THOK0SCmi64AjCyaVFRAZHATaybRbZWWhD1jFRMgWC1dhNRRglkrHIUII
4OO2V/rq3sRjBvaLA+ncrSRqS1RKjluCWFndHx7p4IUHn1Tv2sEHFJMuAaoScoRCxvJDG16JMDHo
DXWTBJemJYi/Ew3mYZ0iEF/bJNTg8OndnR2N8XVi5mlVqx9KEn5Xpsy41W0kEnIkKayqYneZl1n0
sBTNWmceUcjZJBLzyC8DLUvulmUwOQhzX1wIOahPhjuhwjEbtHY9fpkMWyX0jPdSSnZnaf/A+BZB
LFDzI2k5wFjDTH7XhG6y7VnNWtXr7Jk5hrqIzqqfB29swqS4uoZ/qNIofMPPu0FP/ZSopXuMpner
9+Zp7+ACRLY9jBJ+ciu6lvxPtLkKesS7i9X/XQA/XHvFo8h6RDak0HBP1OahjdAcT1d6kwz6Ogih
RIRusgbGar9EeRyuUxy9S5lUXys0eOVCSAUHQzXgBZpGrkak/hDIqQ513x2AMXYXdqX6SjrDtnA8
eVaAU4UpL00dVNly7DRxTUwwUGrP2rJU+2RAhGMG616FO10xmwbGQn1ZxBxrzLGuVkbnCIhQHTph
4T+18x3cUc+QBoZkkn233GYQ1jGF8BEdSG7Bskbw7teTrtR47ZNqA9py2FiVG248N3HOPtbMel9j
jd30lq7f6HNuc+G1Z/IE5IUcPzKtPQFJPnoTU4+eomzck7ryqqfuPQ+FrNgikCQGRnifgz0spY6W
nmO+tF2trObMgvmBUF9sbqp2m5/VhTRY86u3QvXxX2qlv4YbCWfZoZAmu9aEjD0/x5g4XivRfM46
yKWdU72yGbgWh6ra4QiNBsJolSv9XOU6f1QUrjKRFzsOnqW/dUfQNJgBzaeOlJNFlzjjsZy0PUOM
djztFBxtREejAANNMRrRcMYAw+0QLAEC6i/CS7PHROqf93ruo/hU97W3QMu5wnlnc31ztcwP844s
iTDSMnYoDoDzlxQubd++Hx5aXCU3McQ0XbNbp7v6KZrowHgGrJtWPDWpBSezJ8ZqmFYX6PvEKVd+
cojZtnaqB9y75iI5CBec2/wKph1iaS0nuwyV4qBl7kdNEOci5G7uB2V4WNkYXTQFTdU8TKjRtI3Y
PJ4q2dASGiEJGNVo77RUg2JYWerGKwPzbuG0uPcCRCbEJ2Of+pqzj9rcg1mDFxNZ4bYPimI30sC7
GEkOhBd4aqcW8cpolOis10j7nDF8U8IWsmlPKqopqUhVKzWf9CY7qK7NKgbo9Z0kxc+kFZen+QHN
O4LFpsJNjqVU9Ty5rQQINccq7p2BZFp6pnFuXzUtyz9pxOMVdUqcDFneciLdd0nj7whqCdl9Ruda
IES/Fo6CTga5t6jgUs29TlNAwI4M4pTQhQQ/Uy3mKAuRZ+VOF8MBc+VwaPpLVnkF9dCIvaRwa1I5
Z+BvI3LAZC/M+ohnstUQglHBMhDVqbEu+RwySvNiWMqwa2pDPfVGQ7pjbRHt+qOvrObY9FF7lIVi
0xoyv0JrkcdSM41j0qCnE4l6b7V45ykPEQwOeczOoZjEhPNDFYovZmcTT+2Baz8QGLKdr7j52tMT
2k5iUMK9L4kKUjMuJib4BO5WprELG/bQnMCUR2IHYme1hbnWwSHODO1RC4bL/JGNCymgblqbBTzT
eTGYHzTZaOsK6AUEvfZLaGMZhevdXbCHvTvkzj8VbFaUN/XDilheCisC9ScxNUXuAWzS959zqKgn
YcSdqhP6gck6ghi2qurMWVSVNWwikcPKwrIDHVNM5H9im8PKa5/pbfjHRiAPV9MvaEmMt6m0Wjbo
PJZ6HWirLlS9I+6VcDuULit42r/ptWqvYpmPV0tJuq2PL4mRDp8MBhdRns/BzC2JwvTHvH11FQ15
Hliiw/yUlvDRq0p/QzSvvkK01D94K8lUEPorlEqFMPYR4muBmsFrjeYIz+U19ePhGVtOv+t8Pd9a
ZqJ/QotzqtWY4Og4pf5YFhqjv0UZsepGnv8hu/AlzxzrM7EfuO0DPTwSVYXdnX30SEhtD/aEftvv
T+khzU9B/1g7vYi2hU69awSN9e6UEcgmK9AuPayO+9i1X91aEmrDWW8Tiii95ZDGN3D0dLLveGrr
+lNgmPm5UGmMDw2HYVLEQP6FHldVC+ygjlLmLVDW1z9zTcLg6BnReJmDpvLCSLcRxLs2xM7rBoPx
6OPEeGiwCJWhT0/zP1WjZ65aZluLAEnoz1++NLviGKcTzG760zI0lMytFfBskMCMwOQYbNT0b0eF
SfVIh9dXcXyDCXjnL+BsRh89o1lCBFufPLt1Le9srsv5GaE20XO1LHAQ4GgyanxfI6tynFdXLw2+
OXRuaDdxgVa5S2zSKC7jMB6tSsjvYSLXsg4+FC1tH9Im9i8pcGEQNH6YkfbEUe4qZ4QaMXwMURnS
fZmKvEADpulQdrAu1tpWqKwL88LtjWw/KYsNQl129nnLDArTPFHUpAvdrJlyj6156kN6mNNy3QTD
WxEX+RqNATrfuJv0vh0BgnmJGdd7NvsExDYHcLi5pfKeSOhKQzO0uHWHkoM88ugq5MiadZwqgsJP
1vHAjlGrInjDGXyNMRbvtA5nPgWdc9LQny0dbDRfpNme8FcPL03VpCD77WrfYvadC5k5gYrKO70m
YAowFJEfCpDwMK+1aFU4tZoIn5sa9EhCs+L/P+g4auAufzEbfMxzdAz373bU1OSljJvu1DtWuezN
QLlLi2+qhUStTbNYj3KMnQ2rW6q9j/SnVsRqdge1ruSzgRc1BlhUcmlBUYKXh4Iq/6H75TOWiOqJ
CJYbaa2MmdrcvweF0e7Q+urIEQP9VgT9oxzxeZAnEP28A+LpNqi8pjiDoNpAfd/Whd6eRyn1m/QT
48ZUCxBESubC4Cd7UFryjWCxwhmL/c+9NEDiGLlDdm46jkKLaiDXROjVt5osNLruPlblTKM5oWh+
v3e912CaJIANAfPt2/Y6wx6IMyVGjT1o3r7Q3beeYzIeVyz2ZtBlm86tr/UU1CCD+BzXFdP6XBYr
RIl3P8nrLRgHsA+EzMNdmQKOcI1hW2hQRRQMHOtQusdUg9JBCaUjT6YHZDVg23SB1mjEgra3nHGD
zA/0ID6cj3NdgaCx25L495DwbVW9Wp0gawpnTUJS8DO1t/rwy2zneeAo5oV5sFzckmmc7HQGIEjU
wNVOxWpepdbO7ew7zUcgJSJIzsZ01uL1QhoOLQEFIa413N8rwIDR8WenQq1sbCLT6tOzH+1hmFBG
mk+IeMtd2QnOM2FCQpF1MoyhOHN0d+/C09Kb3uG+p29P1wL9ziz00C2kqPiX7klG/DMvZ/klDoN9
RijwPWjCHP9T+wJPv7nrIxNtpWGaLBN9STfQuMVRv0uaIjqHE0RWF9WGRN/+wrDzLW3s7qj0I9ot
N7XuKfEFrulWO5kiQSMMzLrDi3HPCHD28/+a/ykcQCpHnmTHwQPByLbn9Isz9lFD8nYd86kyzE3k
xcWl1Nnymdxi/p2EDXP9FEheT43YuCiXDaOJVH+Bs+6QIUCY789Du9WhhqC0Z4zbGJdpWVxQfLJM
WeR+juS6vFrCfB/DDOOLFpUXE+cmug1MP6A3qjV5wogGp25rE6LFwJxucZstNacB44darJp0nH1R
wPhOueJaKO+LlN1vyZe0K1yDqySmKp0lBT4JnbuwCz+7iOv3AxhJgHe6uy/od2HLoPFi1jF1ogy+
DUAEHy7s1xPSzVvNEOvQl0V3LjvGSXSBN7yyX9JYI7WjimHMTpOgOieKbJoNKSq+6U4zcL45FMOI
BIeLymiY3SjxDpQ9CEWwRXE6+gExwtm6DLm2QuTfxkjTrp4ffy0VGjMWePivRjrcM4+9MfJVYASj
vkxdC51MhGg0jbk/NLNkOwlo8dK5w8Bd+INypqvt4jBOvmRN215SBgpL0DOHxBzomZtfWzmYmzDS
HkYX0Nnzg0NRy6udD/6JDtHGHdyWCFqf9o+GIZLE2m3TMkNPvTFc2Zn/xrAocowrzIt06TB/GnWV
KApOWRs6+DcHs7RJD16yaudAIgTmCbI3lW7ZmrkJ8HcM1o6DBslgp3A7Z3gCYe5T/yGlMEWeboFq
BevABfKoJ9vejGLEIAEdKT/ulgOs+w0kdg5pwRcfX+eWqfy9lCXox2iKlGmtiN0OYXLmi3dKUox3
Iwu6Xx7ddkAoYD/sfZ3UET5fBeQHx3N05LsAuevec3GHc05lVO/UK5Wju3SUlRoZoBkUUIZkBF36
Dk5EqYM7xjy27oLwUMUlPcU0/q7l1Fdj9FKqNId1GsBr28VV7mvf/K5gPCjEzuyJ5uhaAlWjyekl
iQptsJ4Uat7faDfBE6tfjA60W59+DnpCB0KFPPS0Qkqr0T5siSX7SJ3+7gbNN0/vkumQQbZuCqVd
0wh3I6BMdYHVxEpGB9hJ92D50GG4QPE5QH+QGbWWvIfF4OMdA1AErfWSBDZxR29117ukNNAgAclr
IVuITJqsCMlHZfhBEFB+dFyCVmja09LGEdmUan+UygO7LrpfDc1TWgCg7Tq7AOWIo71ysLeQAwQY
xmseiHWbs+VzElQjLAF9yZClHxKAxUgTsPA62ZZZxWSICl6mPvtJJlG+apgSeLSBbF0eUxILIZQn
XCkOfd7WIReKCCSa/N2YbAXXWRy4a1k49AinUDO1Ew6sWzJQIrF3ykePuXul6/69JUVk26vfIPh8
SzFikWpBrdT6WbCOqMOIY7ZWgcL5QC1J+rUQi+s9OWGKPGqoprmAygpQkFIqX0I1WTdJw+nctb5k
MjFW9NvE0i44IDYUXF01fHcqaa5RpcHoHtlc+pZ+lV+F9SrEVeVaXrT1AuJt/MG2DrLfjaZzLGvH
J0LEivae1b+QdkOOgaSKBbaRQmojYUQ9pgJj8Ej/zku6kzJq2jaOhw8XDPoQ029EYwJI1KS5qYxo
LFzjqDVsxtI0unO695Q+hsJHGhyXTbYwzLa5uWazh8ur0alB79gi57N8WGcjXL+VGgJq8pTI2dD9
ekLxE5/w/2/ribU5MlMSAhFWM2akwzkEDmuUMqsajYAkHkVG+TkSHWkUxNdS+UX7IjVZOkEtaIXy
BB7u1DnBnuT3Q+WxPOWFmS8wMDzqKSQnV1kZREHcPf3IHW7OK7kuzUFP9vlo0ERHmRxilahqib4D
Apz9PQPBRm+uZw1Sk2I9FrxiHeyFjUZnalTN77iRiZCA14qhTilZqXRajLLVAUNF4VpRiilw54kK
EJ6Umn8jxAjMbVdWByHLm9Z8Is/MX/qRC4dCiScY42db7SapUXBrIHShe3B5O3GGD1p8Gy+Z5hjE
doAR0IgTRbH03SmATRn2I80BrRqjn+yazoRdys7KoKRqCoIbzGUsreWQ+sUeWgDSvYQTeWuoaB7w
EdMxflJQxC2iMPw0VLVJQA/251KSi1gy4iCqwHpFOWBdTd7zkZCZrjEj4i7TdCvz8Efet2ROyIAM
laLfUJU5e8dGDR0WbbH2iy0S23BrhPDmc5L+jnpjnWSkP/kwG5eGll7MXE1WMkyaJWnf4bKeSFm6
Dw866L/S9DmPcZaRgI6PUXiNd1QpMdgY8h0YNchGLjVo6lfbdOB2HZ0HnuVxDyRiCNTyjIa7WND8
vLJmwbngDRJi1EhZ6r4LRCmc2apoZfTiI2YoTR68DytdSc/CVOs9Tel80ftavfEyws6k28t1XXx1
/5uo81qyE4my6BcRASSJeb3elvcvRJVKwrsEEvP1s7g9E/PSIalbUvUtyDxm77W9ulp6H6Z4PTLd
ir3ryvEnuMRTAFEnZmFDa1qwFymLFY6ZvZkz5arYBm0KhKyrmnxCEBQtWcSRJqDXgu3bLC7+MByw
pPtNxKyPaWxUzgJWfneXd7wEoVNylIIm3vQz2wPXKHCyZjT109BauxxkXR2lB+WXHinEEAxc6EpJ
RWZIUTR7PzT9NcEi7hURYBP9g1kyXsOJsj3iQMLUa6udqNmHx+R6FPm8dRpyO6L0gzSazazsJRki
BtFass9OVPeJfPHeE+6HlNGblEF9H/gFPiIeHOpl2E2YmwAmm0b8CQB3WrEL/BGGJGQgonx1ZHaM
I1c+pvpbc1htVKW+CwIGVySEQbJjWFMnYGkGu15PYuSO7Ze1hzUviCy5ToOETL/yqZh6gxYPdEca
ktSB4ZngJXgkiSK+XLVvnoe8SGDSGsP7OXemjZuzU3ZIvtm4JUn2jOATgjo7HL/Or9AUGNTI4Sae
u7MlErZcGZcsF0m+Er0V7/vI+It2HMVraN1VflLuIgPbaq0OiLkIg4ne+N8+O7Y57uqU1mVmKMrU
rp9p4YYSIG3eJKSOFT0QT+vT5RXd2XhabOSkHEisTKg5EMKOYPHYnfKtZY2AqFpCDYmB5DbcbxMM
oX00dscCzxNpiOkP9JNsWxvJhTjh7761x+tE+DYIJ3VqshY8IAdqm0cEHn/LhCLOd4EYls0fcibe
efKf2e7nW/AlKM7DGLXOYDoP5NhsbNgKZYF8MXZS1LZT9zVQYe19Oknmklyjs0ls3hCuqzB5cH1i
28Ma/GsXFcR/BAD4yknwrQwL6y6dA7SozUs9RwyFjHJLptSDlQ1nMdn5S1m21Y4ydW1P/ndrd9u4
xW5udr9xF/NU08UYCgyyDJ6RDQO5CpFGjrXrrLIyuVhublOJQ1ZpwRofzL6H1NPmHUTAAthdSrkv
FxNyXs2btBizi1GypOxSltjKY1lZ10d/8n61qj7NAVp+WLMhVv2wtU1EuYPf24eBySLKzO6CBD6c
FtR34L4DrwcsNsFH9YOedLVhJfLGeJf6zXYqsGvCfBwkYHGH1953eR4WPkhcUUOgBn3DM+OiEsV6
rBv0sNjP6FNjPezGLP5YckeStDoRLnbsHCTkVO9bO0ufag1MC3I8q3qEe3Vo8EQaiqmqmdd3Bmk1
rUWGd5UjvQ85F6n94qSptr1dcWV2/mXGZndIWJkuL4LDbV4ATcXYHzySQ859B1WQLfHXMhPKw+FP
7fngO0l00nbE1Hhm4SpTLAlEpK5NAylgg7scPVtzVXj+aXbybDvm6Z/cBKVQWYaFftPfDQOECfZd
0Nfd+NERY3Tp7TtWEsluLhn5daFgkF+0JzomggwGcjpQ/n6HZSsZZnCYyqmhMjL5Ykv1qOzoLS/d
5mgbf+J6a+Bs1rlF8NrCjB27jec6h07r97pR6Z4xOKUXEVRTi+gcyQFpNI16ngI73yURABzF9e0E
MQZwsTwswC/cYamoMawTdL4xHNgeQ8mtnka09XynpnVhEtzihVBe0+5lKrW5tzzr4Ah4W3nQeytI
KzTGtObzOO6RLvAGKKLvzDQ7ut1ezslvJycPv7y3dxptkRajEVnNvEtWZrqHpuuOKHL7zZRyFBCo
hpvP2lZJQIWUnnV5SkMv5LXHSModfNeSvMf0Qu7gU4vdCA9/0zn2mU0Cg09Qi4VkEKXMft2XIDZH
1F5z2P2aMf7+yp12OdiTTaaGowibD4wWDMKE124WKxgw/L0gfGjvpe3JNzy5sQJ/lTKMyNBZraZC
dc+d5DAVQKjXhei+8gDq8sgOLcEa5Xo/JaE3n6aHiKlLgJX3Ethx2PXEGSiJHDjyyOIiasp3cUl6
zNQS1i9RSGJvIUMS0hNQj6DZDFIuxwHmMNm5mXF2uzQ8ZQLgbWkg15JMxTsA9q47L2EqHfhRSFlw
f2OCTRKWAyUTZiRKADH3A99iwoiCban8eOf2YbxGF3jqKxBs8EBa2DHGA7FwyX0zuJDOnJkSrSpI
Sjq0enyPYgfQSxETqMHJGuMoI/pj/A5auwE4E6h9Evyl0IoJzPUeGPmvunzJcwFCsEqTAi+RT94l
h/LeZ5PONNjY1lKf+LivceaRE9CHj/5YvSeYszaY6STs5u2M+mRF1FCMwXhGINRs4Gpjq+jFb+0z
u5h8x1qz8oLRSVMy8SBsw5hCHSMu+DuFSs5GDj0r6VJ1kLjqescsM99UDuYD8+UqLTOx7lz8Gbp+
IjUtbxGhRAEDjsTK1okzCGQfJs9Upr4gn/obFqL3jm35e6spm5Nj3bGoA3ni8z5qPAFN+14ihN3R
qKCwSRn4YVTYthMUILInD1D51rqjUe39go0hP0AXOX7HEtQTExy1bd28YMFRHR0SPdbjYN3xHZwB
MTToFIJXSeVHFEWxGbzwx2v7Y43dcsvGmFA9kx6yjWxWPgQ1cRYbEjUUPyU5sgTkzCijrn61EM6G
CXi0s/u9PZT2HrboBlMhGCN4cXa2hAMxxGb0e23b6NwUU7c1Dad8aKZLYxjBunVius0uizjSMGhE
ZikuXVuWW6Hqv1VXPlYd8V4evVHqlZ9o+0B0JvMnyX4un5m7clNXkNbKt81uuTMiiBeJejKkPW8S
2jmuQs5Ax5wYfcZ7/Lb0+55wtnaR7YTnHPq+Kq+dHuPd4rJeJ4V1ngg7Xkdn9IcE4/YAYSrPnzfK
ivN1Oyrm2N+ZbdWc/4xmOSA6pibuXTLDeOjqcjhHMxFS5vAMrCa4xMn0JmY5bZXxaBnx1+QJwij0
zBAyznZhC83NnfmMElFYm9mxgTVyqNn+wmZz/mS2HB5rw31F3ifOxqyfTfWROAjSPQRXLDyReCjN
Ct0ISQxXSO2TmCsW2h0iLdBRkK9XiDMlR4LDwn66G3ujuJOkxyDvbE69BcQLkU68DRzBjCx9h6sE
nbOlMMtJcls1yEJ2iuwa/qj4gM/+Lh/hu3YF3a8HqHgYb/aLRO4t6FnrPrfO0YCLvDDbBzRxCL4K
EMiSVMsw1t42KNqZnTbJQGX1HPCVr4YEpZMW7VGRxrOKP5Y0k210INawTWBDdt2LifviDt31gW1l
grwvfk2ACCGD7sSutEyMaWhGG0ds+1rgJjHOUw13EN3VU8U0etsMPzOS2C3MYeiSZXlum/5AHOp8
b+M6J3eMWthRT6x/yLGGOifrkFdM+QmP1PCaqNrdegRREJRHVCp2vI1pFVwsnljqWlQPjQ2rV0fP
U1eIc959pzU4TYtI1zJUBLWO0JORDZKM3GyZBdzNsWlt4H2eXLI01xHJUoSdRKfESRB4gdMf0uaz
7ts3R+VgRW3ejgLgnt+qey8iV7IJpyNnar1vk/4j1LF1qIzsh0VudGLGLOCoI7PUZJRVyja2s+yT
595zCT80sZEDHVzNHtaYzx5axql39B+Zp38JUOCNCXoahrFfhTm6/qSFHVWRZEVA7DbIzb/5YD8x
5i03dHMjvZR3X3bpj6uLflc00ND2ucM8aY4aaLX4y1UUz+tmYJJBjpc+yT57rVImQlVeNSSfMOdP
lRFukrnnFUBWZSb5vnaT7uw102Gy+oiT3paHrgwelsCXfhlbuZ4mdS2ScpuOnVx73pJok6JccAZv
H0uRbWxqQsfp56tZ9AfhS3jVAbPwUDNqogFl3WP2UFVqr9qH5FKzeWTQ09T9Xum5Otqd/YGsDqbs
3MCyE3+I6zUOInmevCUuLh3fkPf9grPk90g0Sw5zkqRDkO/aTxhJr7VHrAQR1taarAzkn1MwEfz8
kjZ3ouUb26NkWcckxLFJsJlSC4T2YvgZ5/auY7O2ygZk9p1B+Vciqm08Lk+N7YAkOaCFLHdXyuoe
Q+QRlM/+RqYAphkK16U0z6ZXftsqv3gkEiLita69lv9aiD+oHrJ7t4dEN8NJipnGlWFOcMokGdex
icO98jUWl6ZFhUhPqRX9bdwy+PJoOuKsKZkGhbuFgbSPZjaaMikvEhbpQExcmRiQYI36oEP2a7KQ
xONU86er0vgqCwQfVp9TUPB+4rXIV8O2Bi3FwYGArFfG30nYbzo27B3998FySTXxaxa8lk0nIfjb
kddc6SEhMPU8IzzWX3GoDlHOm1+gNK+Oqc1wr2kMEN7Qs7COshdiNuR3+cW0pu/erM1T75ffDGMI
GiS9Zw8sEXtTeYek7lUGpjhUKv2yRYV3rh9/iOUi97xBx6va/q0vDffip3sg+bsUfx3ZQ73P9Hg+
By2ZRHDL3pk02rA4sI6FCV4QAITJHqbBv3hqHmbWsI01ZufQRI3QZx5Z4bkBQbbR70auDmbthDBD
dbl1HQK5VCFcDskndFYGQPfoezAH52CXkQNQVrBKwGLEdg9urijJAc7Nx0zqcNeSFeIFU/6V4EKy
cc3oic5Fi5SaD0ZE6vEsNqX1kMJXRJRZ9lvi8q5GF9/3RvXHQZRPH0cV6cPz4tj9HUJTYe7hCp1Y
ab3HXpfeNwRYxofIVkRXyqBg0JRCMsLnteml3ql2XAml9bEQaMdQqjznXjHtwNe+A2chloppNdfO
mhA4A3gkFQO74HdltJ9GXmYrMQsNII8R4JAXz5HBa6qB5JXWqW7xIc6y2znaRsvnit92xiZOwNuj
H6IaUiKBABZgqRF2BiNyiUJa8F2ILdyNpYp+q8oSV5qZvGuRnMnb0gdpJxR8hH5zxi3T7kwnDz5s
QGLASLljO06Ss7zrPHJH+Kw0/bzKmPk0Mat6FdH8Wv16rsLvmDC4NWZdm8GIkZzInHgaqtTYFY6H
ObGu7trUmp9sMm8VwE8e+PQx84fnzmMO109vk+7r59rFiDb1nzgZqgua0jdXbUjiCaHkhtdCjc9R
hbbIbcJn1hs0fvZ3MjJ/h8W7Evq7aWPmU4SAX/oPbZk08zbPeEwQgd9F5rb1p3HlJW12qTR05E5n
KXC2jOuVbpfzevrbAD4j7ExcetTZclRfFoz2LSO7dFOkGN21Ff6WKmnPQ8onFcy41TLF1iAxy/xi
5WH23z/4iFcdK59tNIXznvzBP5VPkiAQkV9RBvneSeJ21RPZasBIRepAjVwSn41inXaOVeYg1WGu
W77zWbHPBD0/UkC4Pz9KLLnihOMxxSSzznzAuESgUGV/pf3fkSEA6WSmdW37icsUOuoKsfHPSHZe
UtDwiAnRafk7LWlV1sDgk0yRD7CPKGasZjUI2gedi68yFj7+/fBoNayZJIzClWIOW09UgVm6r4zW
2vsmyQHIG+UVycY2gWB5sBFbOLOXbpG1krc1uy9Kk7vU+7TjUWludMQIOCLzXfQLSFcM5qHOKaVm
C+oCqgCyfxgh8pIODvccehoDfNvK9umLEWX7hwy5ENluzrZV4m/HtiGwxM9Ia7mazXZLAZ/f98xI
WVdAyLdIndQ13GEbMRAtlwBn7A5M6UcuDCVIdholIvTyTYjozTE41NLmHQTMvDZsTQitLl5DY+bC
NwTdXm+jt/ctmvu6P3lm+reLw5wgkPKbzu6N/NTkiGRWr9ByPLWB3+wVg+yEfPG1GH3mkw6DIf09
ORrbBCe6zMfXYUKjZP+NZffLZ24Rwsg4nPDl5qtGy2yPYUiz1apNVbf7AJL9Y+6UGyOed0mPmWqu
96yUALOQXrDlC/2SHssLIYP3gONKJUu7jUTLNv6Rrev+dvUJ507PObCsFNxWHZm+ffo1Q2Zp0xf3
zbTVIw+eSRNmMg2MJQB0z6VG4qjMcUFnjXMVkrLAyd0cyx/hGfS4X+HU4aPvvpKSoA3UgYxAJKbs
cKS/prwDPBCl/o79LzcNJsl2mLYgbIh6lRVXhw5ZJhrOJUvBf0/kqm8SAPuOz5BET3RWQew8z4HO
T6Af33ufWLAoq07M0/JNUyDiaDTTc8/dtTD6rorl1plRz0Yj1gKVb6GUa/emOdRXnMpsx3qAcqip
vRwFWdPOaq0tzhoZ56+JZnKCnfSE2GLlmiC9zbHEQikxZIXxYaaJX5vUu/YI+z1JScgKtI9mYMa7
ji3jaACk27YVF5KRMCQIhMsgjEXu2huqO0swKqAmIn3Cjq8ZPp+t0D+2gCWOgq7A8WRlsJgZwsOF
pBOy4qfGJXKD9OSdbnAukGnH+VJYdPXt3qkAAGZ2xuZfvtfxAGwAnbcQCJtNbR3Ze+CbmAmEC9zn
UhGYK/38iO8XKsIa8kGzBqnwt0cTHwyfId1FYHrF0SrcZzuuAqQYFkNVio8WWC3vqq5/IEI3U/LR
mWrYNv5EfmDHgxhxnJia4lT7yDmMAao6H3oRO1wAAW16aKHvD/1kG0rm8wS6wGmumKwPM/Eh6G8m
mi+Kz8Jz+Os4DdikLbxsxjPYPhkLdDF/ok/H1k7ikckISjtizNdV/14gn6zIVnlSVX4YZAeLWIVU
PrUPVVJguh0CSjXMwhxpGRmBXzWQZuDg9mckRXEKltngMkZx1YSzY4Dg26a+YEOK/aq2TQZ61TVA
GbVCgio2vpetaHabjYdPGuw/eZWEtWycWifreC4uupX2mk34qleQVTpaqTVBhRZ7QiaEWb72+4gL
qeJP8kDwLwYSyXknn4y+/A0Ud6w/3hHmgTTIZFDeoWxJ0tmlfB7/FGE+HoKir9dOxTa/dd4RXqDZ
9PrsyvAGtI4geGksmmrdsZgD7xltBleVm0CWf1IxL+5n86iHCfstmtY+4ZvvL1sjFALlFSX/phET
yHOZlUztzAjQASN0o5CPfZC8g6rEaICtzDYqTHB71FGPBNiFj24u2GTnhHFn/qUdDeC0sjq70lgM
082/PBhmMmYgxMTeXJwLj7yvqGQkHBjfESCYfYP5dBUEkHVbskFoJeazjMIn0wZdYGHoHqfGoP73
EqZB4YKSsCggyDacVEARYXon9prVCuX4aib6/ThMONxjZmgq8hEzzyWBKsXP6HZk2wD0oxEyWwBK
yaqAn/+cYzkpkLrvJ2pgSZ08WanCa7kQjbXtX/qwZnfh8RRJ9YIA5wwx0wUui40aIIR3qLBQ89ws
sZItFPNoWgVp9UiQorsxSkptkN5frp0zD33ye4O8HodxKafcSmkIQb0wN+NYz7tFAudP/iv3cXXE
JrVSohGs6QJ1njkRBPkfBADL8Zgk2V5P019aOaIbXJ5auhMin8dLUE7norTcbUO+pqPoQbSW0IO4
gztcUVDOrbugrZtdpssX0bhXIfz5Tg0khEUBIQLMIMlwj6HeGQQhUJh0dD+kO3biqY+bEXmHJAup
p4OVHpyneFqhMNy6pXBOeBd5FcYs3PrDeHD08GP2S8xFXVVomNx7Ro7Um8wMNsVobbbss+fLkq4G
D1oQWsqHq5akTjcVh/k1L82vAUfQc7hYRMbsJw7y4h5j+B0RBWM+PDCq0JfaZYQExxCT1JhjsWGo
g/jmVMFG2zXSc5iZxx+pmhFulp8DyBAktu2SVlAz37DdfyzUJAOP+N6RY7h3O8D2gbJeoZhes7S4
WiKsUXCaxgZd8yO4+2uSJursFMxKc9N60/BF/SlbkAv6b5+0xQ5pCHkv45K38RnLEEWKQE+t1VeZ
selpOaNnl0c4yWnSAwhdEe/SoVlUje5MRIDDsLpvq63dTC+tD5i/7KhLspI+IKzzdYyJwS4kahyY
5nWFgSuKZAWLYX4Joxh4EcgJ+DwA1sEB1UwkfSw7TsR4BsXebiBmhRsooX2OcBDkf50y8NYoub6M
quo24WztZGkENMTRC85ZlOV57nDjb+rE1FtcXgoO4iBduYuQp/oxiwbLa829TDAMhP6JxdsuX8T7
E4uOLh5IfzLwB5oC4UgUeCdRPSl4SV63zzxEaGgvvoIMXLY/Nw7eRXNTapTpprAWJXB6SamofFfs
xPgvz5j/2v2zGSkWwjzOY0NmcmaK6DFzTeYP97mREm2i4ouJ8GVlBcQ1JAhid0X7dAMqU6MnK4tk
JqzM4Q7TBNkZVnmoLLnDk+IenDnasqAhc6AARdyLaSuXu5uMRU0QKt3+6BrbKoXA5oFgRE849MZu
KoxiaxukBcejt6poetmcIfHQPzAgFoNsR2rShK+FgnOPC26IQA5OySnJuzPPG98ePec77+QZZntu
pPlmMWaE/EHE0UA1qPGOXXCyvQUulRFHyC4IIIIri3mz0tXj2OnroGA515QPNUMoJMDxtQjjYBPR
tac2UXPzeN+VAGWMxUTCQL9ZOaNnHAxtfWnCtpLngeF7xG9m8s1MvyosYDw0K8Rwr/LR0HcRM8fT
aNZPMDH3JF4w89QqOI9V92BZ5G82ou6wUnuflNMN6pNLk+HZICKnurggnK4N0taVmvSdUffyFDmE
SUVud63xvu289ME2HiwZQ8MwmbOJ1j8IaqfVXBsRDaNvYnEDliRJ+eHP8IPdjfdbmQNSLRVHD5h8
Jcm6FSo/QMjtYuxLJqqmGFUc0qRcPo88cGKcQRnFJAtUMuru20a192QbcXct2GUmeEGDZx9KlHv2
DGEwiDFogBD3isZzD74oolUpPb2neUJlSQDbXcGyn6HLy00XapUcXVZqOHvwcOhS4uAco6SHiZ5m
LPAZ6d3+M6rD7IwK2F/d/N3L7GrhUXXpwGM4tzjqEqTPaNVekScB6AF/02KeYigIJpBPkcosSYkH
zVLO5yB6qZS/VC76ZyzTtWP4e5M695F7q31Eg20zZIu5LwtLrW8fhJADI1dipRbpKxwNBOsZsma3
H6+kCG5nBFJHheL1tS2x2c01iSPScFmrY7OMYugGMVLe13ggs2CczSety6egj4p729Dr299syQqX
hWr1JaxSn5uDxO5Jx+WLDr5RM1N4jlULLYxfoW5OgETj8YXtpyz8P1TNrGeaQLyrKiJ1UNtYrlNA
trfvmJtU4wno4oMkf+Ryk6TGUe6sqRKj64AEAk6rWBDyI7G6VsfgG50v6aWNc4+dXW3CiUn/CnM0
SkcLPaW2U3ttN/JPdgPYFE7nvLiUzMsol0qHah5nMeYyhqX9+j8NN0MNMKu7m8f39o9yZsgTd2Jv
9ephZpfyPAb7dmTpPKSlcYBKdjThzD5VLIHXsEjZYRrYgt3Su95+f09qUhwI702OeBYjdEig8Pce
NY5mxL69MYO8ydC7oRph2fnh/vZ/S7R5uEegyV9jj5gPJ52+YuZU2zzOEJne+EYkacz4fTDFMNaN
qElzSV6kDg/UU3/LihoCYCNXWaUnEhpBl0a+TC+Dzl+Gth4wsUJKr3Hw7TIPkx8vj+ACazHNqeaF
M/LTaU3zKEdEVMhAgpe2PKrFZtcDF7vhb4nRqrZZH4UUSKDqGNLUKwj+E+Lp7GqZRM04mB/OTuWB
75nGcJ10nI8DejhDV/J3zAVON+a7vRu/TAW3Uo5ReGNZ5d+5nKNzHcj0CQMO3Ih5StGIxuMV8No+
buvkDpUi6tMYXqE759nT4Pi7KbXCcz57z9bNRNkWzX3Jz1qFKrcKS/MRHdbaM6X66UNmxKgV4sfS
IsnGDfnWpS7rFrJr5g8CJZF1Dw9lrOvXqeSTresxumblB2Ph4TosQMHcJm4Sz+vDOHifpnDoYPqx
Ltb9fwyRlgTkOpymh7ShzFZzhOmmmM43kL9yKBZvHBgrdnukehXKWpLMd06J2Iqjxz0X86/Br5Oh
7hAUuDxdSDievSWKJ46D6s2uqk0Y6urBtrMK7l7BhdRp70x2GF+awqeKxo41tlP7B8OIkMwum257
ccboYZgeYBWyzsBXfyMOJRo5lRunVytPtbUu4hS4ALdvckaupi5g4OU60YWxUZ35zbSpIPxEjPB1
69cbgM6biG5gVeLcqbCZubu8B0OWnAPCys9Tq4h6ZngzTTHyxzZ1MIYNFiNTbTIN/1T9SP+Y9p/5
gmAYUCaukikbdnkOqAof3ImcR3FXBQEZ6xbArMiJ1dqJAqL+SkrijgP4QbAvXjzQtw8VacK2rtOZ
/0EPySe+hpstUcUwDgTz5nXFC3jwp0EfUOKSE4VPbO84xXRpmVXFi78iCs/SEt79sJh1QbfFu1Dg
dh48g0idnPiK27ckjFsM6xlTef47vCEsbu8MIyb4wu75UbqxRpdcOZziu16FbJKn4VQ5khS4hWVE
YResymEon4xUebuyRZf3/787Ms0fcAfevepZe9A85wdiQL+Rmh8zbO/Enqq9wxRyO1YWuDxgaXf8
wi4LmvMN59UsOM4yYWBTlMfElG9V3O0A/NafitCTVX67MUmr2DvdvJwb8fNY2orIQXN1OxBvUSNY
ZXZumyMdIHR9wXbSJFc+MysMnsMYbW74xKrYNoU2L7fLtkqcP7KPNSSPdLgQdDVcehMPFLQy65C2
96xGLlzSy/n+f/8g/dSzK/O+HqqngVkC9RL/ynHDP/Xg5Kfbz2aRlhTvQ7/rD3QE04cIfYXbmmA5
r+YhINxZPBllS9y20l9lR42LmFBco6pILmgY+BeagYZEtEbd89aRPdP54/Qh7bOr4+BYen1IAlKR
fuS9x6rWNegslGsxlFgovLn+Q9i8+Ey85qLND7KRkr8QbdBxWIyo/6MGtZWsjnH4lzxTzBYuDgAA
xm9LWLqPFOWTGa/2Glw1zRjtrAwVgIPU8MaQ6RAIrCwm68Jt+sstAEFO1ltWFOKqkrfbQRuGQX5G
9PvhqdRcc6YE92Md8kWU0UPakgxlg7EYMmerRcylPzTlFVHZI8w+Y+MQsLSerda5M6zwa8ACcsIA
GR7KPJq3N3SCjoaHcTG5pelUHyfDi1/LKXiagNTdTY2VvPaJxZTNSwHeLf9SLH44yY3eETL6bM4c
3J000rOP2vxajVnN7A1X/9wCtzL0LUfcQlFL5Nmpy9W4H9Ihe2xrDuPWYaI7cdMd00k+jS2lwiod
IABE0YJXyfdIRKCVhYwIkkbfJwqrvGGhN1jsO3Npnv+78BtfByjbWVZh9DM6vpRRmLiird1/3xz8
UhVNMd/rdQZkIi89XNvkdrVl/5oydETlNhrnMcaxgva3vUTOrC5Jdr2dJ0ZUjgcj9RwcK4F5NKhC
VgUvyuEGsJunYD4yp6Bx6FkxelmT/IAzePQ4sS4NpkF45Mo/mmbWbIfBg46C7XxL8Np4bfJ/twqn
4F6jfYX7ZA+dt8tyKzv/d79XmTc9VH79ph0ZML/lNIodjIEIPpqtSK2nGjrxnW+nzhPBf4wHSLIK
TGeiLI1shjX90Q0U25pOkPO6RANlxRQeeSjVug/CfJ1gMNmwPD6ZKKruu5BAuttXxC7Jf/zvS0BU
aKD30fVBeFH9PiEOXMR2YF3auj4Z6cKcReV6cmPnLTTAOFsJe0e0AdEByt1LjdL+ELQqPXDFMngC
ZsRnufwmULQPkHUXCGX16BoY0Qpigs60VQk+YrRUqvjjQCPo2r56iUBIIwF0mQG5/IwCfm3gjH8p
B3org0Bot6jbS+qWzT2uN3oGXgfOkukDj3f137Xg4arqtUGzht19x7TAutSVuxlsU11u3Jhe1v+L
9ClvF6CwU5Oo34gI2AEVMxt+1jeyYbJXg+6NnT8tKwFeKzKMMRFmbIREJ5xHHRHzwr72iMznLs3j
en3DyFg6dR4iHaN6RemH1v0fQBHeDn4wSCLjpxBMhZL3ty/FYshe7zW+NY7V0NjGPcZcxkmoz1pz
+iQ1/lsXbXuPC0c+B8MrpIP9nKfxd5RXep05FvPJhND1zGSfAr9mfwPA9jopdn0mHm65Ct6CZbTw
RzYYsEndSRe7/P+2LNhnNAbQir25N3rHtCIn8nbqy5hauYm8I7lyAi9lAopnabIIwI22sqWcvPVt
NQG1a8QSCMeXTg0xVbRtCU/bL2BNzA/JPzNilIb+fzcWlLRo/MQBFzLK9sV8psOBKChCOzfg8ZEf
Nt241S7LaH3jDlhpfhwyTgo0Z8m2dYKUvoQS2V28xpAGWGg0409rImopM3sNVBpUcBlCOfnvhwbO
EOYvBCuTvfcmfKC5QZrIAwoH+ab9mL2rXX6VrZddShBWnEY9sW+lKzYWsq8niWHpHCbNn9HB+3Tj
WU4KHYs5dXplV773PLVdsFHqH9EbWFLtnH/UNmvC2OHEs/uBJY5GS4vRb+cXTno0wvBFQhy6V5w9
zULTRY7Kf6qZu1SDGfxH6ebzoURHDJLg7E496ewmKkTkWlQ6Q4iS6NYS1L5nHq3kzpg7JKbDaD2V
Icl3Q9b81M1ksIaHyyFNeGeKK+d2Vt5OTU7PmrgoVsJnMGrVmkYQwP9AIehXDA5uX1VuxWdEvdGm
q2V/kB6spMEQAawr+2Ba0T/N2HiXTwXL1Rv5eLggRCkOAXKe/RS4l6Tukpeiu1DR1x+dU1D/KDd5
AQji/XfuODwAy+/sFqtHMkftzq8CZ81r6+2UT0RfbZS8Tq54dsChNB3ccC8mtah3LpbJrjzByH0/
hP4/TGc2gzj3X5mF80Pr6vc5cfqdNcaMBkInfKlIctGxu58RsqxRRvf3VWccyHt2DvPIJpTdEU7P
PHHu7IiGrIhDpNo9KLklicvowLXe7obI9LktZLfh1Z3vIntmkchJNng83Tqe9mVDUTW5mJ5lzMS3
LN2jRiBzcYLxKyLT4OzJ2T9zRmYQYNh55ZyxzzXnWVjMw0tr06T6ufPGsZX+Jnn/6BSFjzYkOrFZ
mzY1U/3DVFvqzuexXWWK1dlY9d7mdtsvS27GbNPl9jVP3XPpj/WDpRpm0xZ1wY0CK4wxPc6debxd
ZnKxTyvH5DWG6m6DsV0YrbdfnZroE5quvsZJMPCBeP42+R/mzmPJcSXN0u8y60YZAHeozSwIagYZ
WuUGlhGZAa3hUE/fHxhlJbK7uqzNZjGbNLuVty4jSML9F+d8J2weSmMw+ZRd72hlw73MTGKNsZrX
lXnfDhomALs/xuaCRJhvQJaoDerT/GkKphlQxJIIR/tnLXARCEeCzWJPwgPExQdDVcmRBwZd1Kyo
0QVcWkvvm/u//0WaEZoFcZ6xZB3dBctIYcqCL+Ri1hbD9SfjVbFthtLK4L7G5Gni1PWJAXePtJQ/
e+Q2rMY5uzSRgvKuAtR+S1URFe7RjsEuDIZzL4rkET9cB28mdBezGMdJa0frQsEKoN6fGCATv13o
2SEaW5j7KgvOykNeVLtpddeFrGRNLo3OH6tWkDQ2vKGtFK8plm3fEvXXjADhkKEN5N4KieVGE3TF
xeaexvYXlvdhTrBGcj+GO0s28lwVPWUO2wwsCcZZVkGEXG7c6uU47bUaBP7CaruNmvy2CubwDJrE
26ooBUI/7/FiMQNqGA3C+UHJtKTpQNuJFrcCjTWoK7YqCYzpun620ylhCIerXTOSI28MNAqFl/X6
P02Berag0/hWbsAvd+iQWy/+UffFLsuzV8WK86K11g+CPF3SmTn3C+MRbeDwbPUA4kplQum7HiSM
rC95x1RYLy37KU30cxwR99kVVkLKyZAf/oMS1gxJvDZWtvHoBg/RyM7pYlsfswvYx0+R3NW4yHZm
3XD53KXBxXOfDe3ZMV8a8dLKJxQqq8a0Vw7OeykQVVPzmEJbc95C2fWPhbEnB0qAWOl2XbF3u7Vq
azzrP6b2vlX3y6D3P3QzKhxGTRaVhbwtLVzuWnY0dFwhlQxfSAVn7jGvayquER9jTOAP4u36C8pQ
PMcHhDV7ht0/dG8RzDZyX7cTsM2abHrBmGMAQl2L9oU4EfagEeZBxOl3oOIf0W1ucGdx8yTm4zB6
H5Vpb0hx1fH6VJqfhtZdW3U3JiARZvj8FDLZZ3hFw7IHjedY+YrN5ScKpWeyG/h0F160W1gH4STY
8k2JXjcdHiLVkbrMlZ8EzSNNJewjtsa4ozuvfGpxXIAjS/GPdAxdpo2GVRu5M1l/uNpJLbUhpRou
m81asMGayd+WubEJDUTtKDc1oUNhd/n4CIrZF82/icsR/4XMyybWk4bhWa5j6KbzB2sW/Ynsu6Rs
kNCw2OpTm1KaSngs+5Nw7P6E/OkBHapgoRr2zyPEp2wGM7NA6m/SAleGw1xmVTtkAAQ0T+iZ2O3z
jI4Hr5PeztUsHIaIFo5MfX4NLH4eKbyIo+iDeBu1uvXeOOB13EYDQT/jdoo8+e8Cof7rrwj/1JYU
7p5lmob7R1bZwBE95qnLB7r07/Mo9ZGUa6KNMBujMiiLzr/27JrT1kgv0RpbepCc/s/fs93+m5gv
489YKsPzJKYn27V4GQcR7z8jkCPW2Jw/LHOjBmSA4txjX9hQrS/o0W9y07UWwnxlrjSy1daBwJ9t
sZeMXLv+NeO9AiQYF/8G4Gv8GVOz/GC2TSUohUdg0vXv/yGDZ/YmUys43lDW5pDDcpIYl/kL7th6
oaQ+lkb2qQx2AloRY4NtEmZVqOYX5QHqWgdz6P/8TtlyiZ/6AygsbZ4uFx8On9o1TPUffqIwKgu7
DTjG0GG6q7LcfUfEAMmaumrNPmiAOaXaXch89b1zq0/dc/rHFhv2AWlYsWWhnZchEzqdS7Azs+yo
RS32QY+qax7RllpgNpitGGev7v0ss1SDQBst3Kx7L1GRQQdmexRq7XwHTPV33Nok7ozu47VU73Jm
+dcQNvvHtXO5Vvff83FL42hi2ISFxrAvSZQSWL88GddBDxzFlhQRHo85jD6+442+CaoxI5ZdHGvN
vdN577y3D1lHMFhpBANRISe36PhV4lg+4TS+vfJD2NNm96b7pm++q1bgMR30hMp4CgfmBVk3DIdr
xsRoWB+Mb9nBLLPLuEjvyoo0yKAAhRK4PUqSGigytZq5/FGaE7nK31EifSQOaDGtlUNQxKYaOyLU
mhG+c9PiOVIxvk2UhuOnLL5a4XS/BygLK7CWLN+9PD7h8etue6x0K2KFD2AWy8OUWPkrb7rEqRen
evdw/VXggLLUCMyjbXJeGBaREHGEryUWVnVyO499Wh98ZUHbbVkTl4dC426A5FI/6JlO0Fxv2dBy
HWBYkoT6fEzea1ItfnfC8PHashycMNbJxCw3ozvk58ZrHuysnn7KiXkmyQLeazCyTA+bfHwaEN4w
dSy6eyI8xUikiSBAbiPCZnoLJw541iXpVp+RedHiF/cTfi6OazH9MNyCCTzJNWKu91GqW48tz7fJ
EBjgu2LpsDDslYOErHSGGzF53Vm27klkMEGd8OEaWet02bjMr7pvmm7XEezOIwc/yih9b5l5XumR
0Ee/vzYsQ7fGwltZkthuahu9iW6PaKIj70daxgD1jU+vMioe14XzVg75aoZzcMRLxLXLh3eQjG6K
pczR7Wk4yCa5FFbb3MesAhsP8ZWYLLlGL85XJRJbz+yocEq3MfGMN581hp3nnj3D5W//1OUY6GYG
alA9Pe8O3QH5Hv3ovLit4sEwXUbTBoXJ8iL6IixNhrLjizrdp60+bIas/G2jGYFbFIfMMcXDte8e
yCw50vuRGEBQGQJGFsqEyEsE+cygzLlYxywVdyR2I7qI9OEQ1TPQWGXNNIQoI78P15m508bRqR0F
FqPJjRD2aOEN8mjq2GjIeADZRPN8otazZtLQi6B/tSpwH6ls7oKE3eGQmL9yU3cfI7yD+4p02g2x
D7vrMDjvA24vz/hVJ9YTuS3yEhJrTrJH/AoVEDQNFoXJmPSHQOuBWBkKPInRhIhHqvhmTrMz+4Hx
rhkALCBigd9usNNxRdeenKKbQFg4ZnuKg2XPmM7HK7Rvls5fEcxO7agLOh/PJ8zV5TfpVti+3dO1
hA0ASYjKuim9QR10TT93iZvfcevkpNBhGTOAQW2ZZYaw+ubWV3rWPURh2/sa+bzYhob7UYXl+fpH
u5B3Q9JOkA5l5kG38/jRLvw8t/vHcUoc8kVQzxkOrHktR/8mmK3uWAB95crB6EwpejDcrUV2CKt0
TT66M3Sr67WM3Eg/DKO7s3tWebqWtNvrT09AOD6HMt9f/6lwL2ng+clyZwb9IUG4sAPoPL64ZnAE
B2F+z9TnIQDS2MCtmolZOvbOkAFyJTrLtS+ZGJnvabqxbSyIDtciPgcQ0SmXau56WkcTCgAIQndR
x5YSj/buuxdwXW3n8WmzykccJvR8B87jFF/xp4Rn61Yij7bExdZ4XbKvJnSiGhGY0GNmji1oEYVo
zsh+G0yQOPxH4h3X3mRPOy5HcJIyvUisi74IrZ+QVM3nBO/0ZZqdnzOOlFOjY1CYzMQ5mzwjZ2HA
JzF1GBrTBN0hY415shooiMnITDgLKsbpsin2nZW26B3w7JttWN1EqdUCJlbTPstGENYY/pE8MKbg
e508FKUD2sbN6CKv/XlOGE+cCe0u6cSMc4z6qXI40+ZG4QAcx4KherhLrZEnoe4wDmI2XeLdxKNu
iCMI3HpXO1aB9VCcJlVOPwpJ1M40KoaYo77BCw9quk9/Mk9xN/Tk2i6r0heLLPaNm3qwDZEt7+oQ
vWwxa+aJHhVE0QAsdkiMfWzW5r7F7isx5N7AzEl3YFbbbVhV7r2gAV6F9fApmKqATzK6DWw55NUZ
2rIAuMK9SYLTts/y+saDRPK9vUbTkq49dlyQnrNPbWrwM5cjo9jlRVv4FmvcVvqNV6k30x5AWlgg
XrpE9K+9/oZD6fI9gsdc6WJv/52NT1PfP6Fc7X5qyXxBslhUs+7rddFsrkQshhhEsMq4aN+Jo6cY
WWKaG6fdWQUzDavSiWKcR9sXqF3fUNs8TPukHoMHs8orvwoBPe6n2r69/lSK35spfrpi5Z9um1Br
bihuyxPyFn7lQf90ZOYeWzF4J+aN6xLv/tZVvTr1MXhKp2ejGyjEIXazWM6sHMJzP4NADZ/Qf+Mg
ze/lJPodkXG973pkzDtuhO+u3ysrjj/yacDO35r307URRnSNxmlZSZpZ3+3yelDoYd6D1IpfddEe
JrS2m2IwjJMmmWUOBGLg/WB5mSeyPxolwCW9Hn7OHIWwCPAMmtiRMn8GH9dO6NJqo72/rqllER0y
F3wVC8C9fgUfCoKG/a4Bq2V4pLang/zK+vTcmUSvhwReLmpIvDP4gXxYhshvloVcC8zkEJs6LSiP
Q/4NE8exSPwLlfCWwQqi0hChBzJTNpw6Y/FIFc8axSp8pzG6nTK3wbomWSIvO/oZczCry5uBB3Ox
uuJytacU2673OmZp/86YL2K+40RP5sJHE+X4bOnEG4HxYJqDU/C+tnea9hUaOqLzgoKUuE6HXaNQ
x1kvh73RxdX3/jnJXuA4ooeYnIo1MJQSdI3FsbsS0/O8XNfWFN0hZUBJ1yz6fM67Q7/QaAvjNICS
8Odl4Z+XI94OlQF7Ww4Ttfxoyut2tpG9arj1jsoCQRIxCmocrXwyrfZ4TYbIwfld1x6GYLZpzzaA
NoITUEn2A3DeZRmeOqHYpaAktlJP3xdxwpYqjQVYA6rrCi+vFN8sXdU312bir+nef+27/ggb/+Mf
/+/uX0SG/1MW+f+zgPJ/GWP+/2FCuUkr/K8Dyle/s/CPgPLl//CdT27/RerEGXs2RmPdNmnhht9L
Orn5FwvUvu15uunqxrLl/1s6uWX8xdItukw6O6YWJMX8LZ1cen+RSHg8R+imKW3yif836eR/5Ofo
tHu2x2DOMl3QTYSX/nOrrVODZHVuw2HB8YEcw7mkrcXiMHsKRHn0EvloZVaD39o6/MP78980+WIZ
JfxD5/r9yrbhEj2uS11af7wyDzwJOC5jLuw8cJIgviZa8sTWZ2fMX5WgEWJ8b2UYi0vWfVjZ9B4/
oZxvxxAftHfMj3EYBSvH6I+eGO4cMdye2jsk8Ge3vTBv2st6OIRqFwoAiAKrFhSM4m7Mi/f/+RcB
QPXnm0hHL7nQhWGDvdCF9cdgiISRAJBcQMK79Cb4N8m2GJHvKXt+ZWRrbKXyPnrSd/3W6b1Nks+H
ljNoh4fjHd7Nx0CxL7HRoZArTd93stDeiyB9S3qu/NYZv3qQLL5Fhhf/3RTHhxaftRnIg0ByEwkP
TwBAtTCI0nXLOEyK7BQL+3cIWXDdjkTkqAFzXsPGTNTUkC5aqMWGjOVaH370XiRWEaJUF79jgaXL
blIHYb55ozn9c1B8iTdGkINe4FSkJ4kaj/LP0td4EVG/SX5gmq/ARyDCJAHlgeZ9AV4CZxlpJxUM
d6WtnTCuJS+xaNJbmShsUx9jR0DOlBkdFucs45CdYck7j64qyHDiyhCV9xWr/AAIKNwVIR6ItMZs
1DfvNUL6o+bGd8ODxH+Rt3mxpn6bV7NbH1tdDayysrNDMkRHVAA2cny5JiyUMIdPleZDdpu0mDdd
ui24N42vd8R9snLZz13N55ekHgvlYbiIkRBhMGSLoGfVVDh1PBPFa6aQ+chUgm9zw1VG7BkLtmR5
Mw5WqkhVqGPMfKG29+JSsaRZYkxIZthJ5OQM4cEqVGyy6iSF8o4xoDDngC3WvNWiCtUrt8e6TLK3
SQ0RGxdL+FZDfV3X81MVf1A1opoR4aNXBwqTGtWL45p3KaJvnTnDoUF70bDjW7FEAb8QXcxG7DRi
0Ye4av3Ss1kU2vpjrIgodprePczVZp62W8Gk4sbAseDPbsMsB6mpaBi+seiBsDsy+8WosIdhoOgJ
AgfAs7XVZbeAcCjIqFGRhLfD/FSMrAFzN72Ha3+ThSGiIvd9CrUfgUUZ18tqgwcCSps17SvrCw0O
/mktVuveNg5lU95LWgzLqXakOux1LRUXYuJx5lHNYmDN7tBuHZQVJQzWo0uLWT8XRFgFC4NqnNaB
XT+S1mKsIhOKXuNMX3UXbpijG6uJ3PuVc5sF5RsmUaTI48FGjSawBXlhgGmjdxoEu7B8YPNNGtT3
omK9Oo5zio6oiW5DDA0TK9GVM5UhGbIqZqNgHlks3fR4+VZxEdMhkeTTianfh4G+7Yqxv0MDbANm
Ych5dBtFumrSbkKyA2DfRq+xgW50GLOfFvpwXyptNeT5jTSgAk0O9XHXrKOiYC4ztAdZ9uapSdNz
bRbmZhDlW2k4t6NDVMNouYTeEtC9yhcLdDpan6yQC9+uQ3ONIf09g3JEwPzcOf2q8JBzlcajlzdU
ZJ0+rBO3vnFKmqxoZG3ADeWnxDGxd8IaOuQ9lG3yDgN3HnakxT6W9hLATMRRooD0WaXcihIcS+Ih
0Sg0iwg1no4UuRiGLBzFZUm676ns7RshGJkaHl9YnaaYpJrp1JbORS2kYXsqHqM8ODpF8AWQPUUL
YPzKqjHz86z2cNJZPULHJoSG1OxEKLItdhttgTDy9gnaqyCHMiWBfqIqqHJoDsKDYYSvA79PEC8O
XuC2VOVBAXi01oa7xc7v6BMp3Lk4NBhaIIZu+GaAbAAVsjFY7uqu7A6VGz+hk8X7X4mnifDBdVsC
R/Lcj9SALGEnhv1qoBcdf5WZ/qPS4Nw1eRfskhzsuWzVLT3khxABsTWGuNfDKVuFAIbXIxnNvjzK
bH4VXSF8ZFbEeGv3Vtx/aO5sPpClgruZxzoJnmOADqR0uyOCvcXxDqPLsKvnRiNPuuuLW4Qq53jA
OAPS8V4Hw7vO30wHwA8ZPDjIl+zumrcKVR2fSul0fqZFjNTn9G1Ah0GjjNPHMe7TqXzF1Il1tnGN
HSTUqTw1HUZFDepb/WxUixSHkDbDe8mFy2c7lT/HuOLmqJDa9KR35bzOjZIV/jBkFqA67dInZaVS
WBFtC56jHdk/E8N4UVmBTyJh+ImQwoAMDEdmxqSeiurYuHjNAecAe3TWWVYbODioPpqOFhxYUZ+h
KbTddVuVREGcCiYWWxJ4kKMV+rOTsAMT2W095QdInwxjA2RjnswfGIkwVQ3elZaJvaUYsyBOX6ti
LlFfa19D7L0lnBpAUOZHkDDBIYdhvvMCdBG2xmS/NatV2Yp5Cy7s5M4BzoCgSraUdTAo1DuEw3el
u5pPiwcjHOiCQobldykOKlnb0HBRD8Mr8POy/0GMGuueMbon39bdzW58MxHUvWFOWqDVPCJqg9uq
+41iNhTX8euoR8tJUHfragiQEg2+k6b5qs+zB+wcAw9UvjXdBm6uJj7iDF1dGcKEUT7XVq+5T1yV
jI/wR2T9oUixu7LoXxk5WnqXlf6ilOaEhdwRNlJjtyTuEj5BWbv2vWw77KlKuit45eU6S6doa8hk
CRhkBJC301GWQjLy4StUOoD2RInUsh/pQLEFITBkx1cHD6RwfnSRx155Gl2mCc5bOzqPBUPFdZ4X
px5Wk9e/UK/xu1TT2pIRXxdczOaQedsZPlru9pcAcv6BbB8YRPC20rx8jmwOkm6CzOPMB1TIPEa2
flF1P53jUSUrpoPurowOKragzjk/jQQXvt6d67D9EerGXTNyrqRORHRzG/hMRscV4TefIWgZjCl4
4uuR90Oo4GLmyQ1AyQOLPY2ZnZFtRdF9aUROash/uP+1lDkOJOM9M3OkYCiefGYG3bkPd6a5U9Nw
qV3VPMaj+RzoEQ5FYylczLTew+ZnvTbLcVdkzq1tVdS40XROBLggAuQZCTpr8J9PDDQeoeG50ISq
l6p04DFCmNCj7sWBGgH4zPpABnLSiIig9Yfx7/jD2H0aDlnMIcoxUl0NPyqs1Bdp8QPBAj752IOz
MYAE8WYCbnQoWXUFAwmxPtGo5MQl2k+X1CTeI+BgAEfDRYgps8JPYo57d0gfLAuayDgVu96ML8sP
Ay0Jvfy4GTEd9ZZ5q7zxtencCZ2GU981sVjALPDyEy4sShdhbpEk43CsmKhwQ+5am3tMJ86C+I5T
y0x5N0Xtcyv08Qi9Z4+tK95lU5TuCZ054B6dxkpt0W8V610iGm8duZwsVQNhoFfp2zik9mNT72AT
e2vL0oZtteiRpOGQDjom5pmT5DFxQw5kIwD6WA0Hq2NOSLH92mY6WeNzx71g1E8R+tm9ArlBbgNZ
vkAWopPp/Spdpm6Op0ZQAhHSE1uqo85AkfQxwZIM1CaESY9GRG/xaEX4PFzYGY5BZBzYGUxhnfnL
jIf8eQpY3tsQXsve9TOlsj0Vaq+xa5hqiwkG8bQaMt+1bDA+4F8+DF1WrZ+oeI0nrmsAZTFfNWvE
xZKlElvR/KSk0F4d297EjmzfpMRD2RCcuJ1s1UDzB5SSpLAurrYiJKTHGGkjjHK/QiO3yrTsJfKK
d+ZvLrbD1y5KvIWrJTYGrxZ44Ye3MJJISfhMrMTbk6nbbMIhCN/Jrfmd1n0Hdx91uJbaZy0177nv
5reaTQdLQ6QoVYHdx/ME/j1mT3ZnXhjujruRsckJAAbPlR4xki7bfRGMIMwj46QrRuGSim0t9fqn
DjuCDk+5h6wU1EBieDQIi6zMctqGVsO8XLkzo2Gojlpp0495vIHCL7manGG3xA/GMA+TwDb3YSwe
Z9XOZ0sNx8Qwf5SuuYWHFK9qZINIJsApxbTg+1qbcHVlg7fETa60eYFLKPNzYoVPenmo/DJ134Tk
dKrqTlHPJ7cEZp5o8jItPOdd8mYFlnUqYG+YoqVM1WECS42i7vqHPclhO1gIHYMBzCdgybsee+Ku
w8E9MESWLekU9vguMahunHABlcV7Ty+fswllWg4C82SRCEYTMmPhNd4wnhDCE4Ann2ftqalqE3wY
w6oFxKQRok2G8wKDkzneLjs8EixSQ60j8K9JueYS7oJBp0xy8Sau0rKpL6z5n8cytB+mssHNRdZh
r32OI1RVR7sJi2w+DbP9qWVcO6EGekrvUXpmTJs55cFR9yWKatg2mocnoak9aro59o790HjHcHbe
hBcSIzXMwdoemtexim9zWgCUOhL0IwwdZeWn1EvBrlDkFbO7NZOBj1ApVu1puatqEjuGBpLsYEI4
Dry7EmseCcpYfMh4OkmkqBjnY33X6vM7FI0vqC8F0OL4N31cxzFOqVA2rbfJ+vGmIpl1ZTpe7fft
gFcuB92XjTUBRbJCZutgh+2CfqsgxVBQzvgMXYx8mm4u2fI8+qFD+JUVVqc0LrQ3EBw1Nq0egbgQ
zaGLACz0ccoAtQHPqBIaNmmr7pSoJII93th+bfbNJi8UBTURKBdlVDiqfrowBLbKXiKZdDSyaS+c
TU9n0nQsK43JIN4kJFau719boi5Mnkk8gdEdCOIEeAaVvW7321yAXaS5uGie+yRquPdO+GGEJ8Aw
ySqDMN1L79WY4k856ylGVrmdJ+dFJV11qD/rqubC1iadbYnBIwy2GObmneaVEfaW/ERPDA8gDanM
a6dYqRpMwNUzfsgWxz9IUXuHrtEKzHhbZN1nygdvKswidf8kZOvcUuLFtkms1gTIGiSP72VXi524
s0FI4caEa2nBMZKYIR7T/gC+tqW/hrKHf9ZCFdnp0ZvVAZ9oTePGq8v90EX6LlfZjaydX8I0SsyL
VB4WNsVVY4ADlJV+DPsZmgMR9Whl9QvBn2Jdxnq2LQl539lEjhpWyo41xvmKywEADpLwrvSqHfcP
Trg8O+XZot9mrIxbtEIxUKj3fBfZXER4EEmnxziGbjAdh8cebJ+EETVHjXOsHFsny9LjjWKHjjQR
yyHD9sF4Q27ARKQGTEuDJ/e9tdBecfZXGEd2Wha8FU6hnWcWBaWWwB9LMM3GkePtDaM9zg7w/SAG
YwYsMCmz3yE2JvSN9DaLIlOraVXdIol33SR5h2A8K4dSkgK6QZJW0BUWtyni3bUDrpfS4RwQ5JiV
5mNtmK5fmsmXFWhPcLVoRpdnzvLgZfFR9DfxQW8jfcVv7gA396pjXSeXq/Ix76y9PqfkSBi6Wiuj
D5+jjAU7plJvBQ0E5EnY2IjHO/Ohr4x9VJfWqba1bT1UOA6E3R+sHGZULhJK/0w9lWBUnpBa7Ph3
8JmoO3RR1oE3K/VV3kLi74iyvf5LJT39qtVU4gcCdlTUV/mlLdpdDyvxAj7TD42hJf0LiF6lKdAZ
rneXhnm7DuAAbarOeXJApZ9U56yB8fJoEcJ8aJcNWti8KIBQd99/BPKlqwhJxuWqm9rouwIXfpwC
sCDl4XY2WX4QxNdvs97YlR6aKjJVo0PQ179x0zx5gMDoka12QaQ/JDF+Mr1OQwRN45M3kGyrpo1p
AbwjyeNM+SI2rla+VYKH38oRKUzge27HsruZErW4WWm8ZY0vxny3h+5sobPwcXxjNjS4xq9JktQ7
5YmBCIiSCn2l5qyJcm8u85gUaxTvYVrfdY39VaroGWXVsG1svH5FB35kFmTE1vOuCfWHtjgllSI/
w5G/UrwIuOx3uojPoc5MD0QsQhcctOugnfYEoiDtkxQxwVJJ/HQgtpGlwbzF0ffWxBJvajN6SyzM
2OZpyIJy3oaG1AEvEnESxrxDOZRJqDViJ72h80O7csCqa4snFDko0z9JqsUpLrm7+tLB/oZXwh96
YsmKrgBZXYycEzoy8Srx8z495hntq6waXKfB9E5oYOdH8H9XjonHRZ8++JvKj4cW/j8pFeY0Giut
5BGJc5LYJ8oEVQwAF/MnM7YmIKSWuXLqFCN/K4yNbQb4jw1QiXgSsmn8yZyfB4/aBB9sikakebD6
+lMa1jJTlRu4tfahmWpiS3C1mVVPsqW+zzQN33U51Ju49i1QOXvR0Lk5WpSfCErbpgIGJmAY1qU/
C1724thVy1bLXZKUEqJgIZSvmXncZYTKMuDUtwFKfg7nsMs8vx4AQ5yMsSvXMZMkU7c3o+Ixxvrj
Nwbo5yRm9iAM/WcD2h0Ots3hHzzMkDS2nU4+Y2Zh6kbT7okAr58ueS0V30XzdAaOCE9imKwdi3iI
Mh15GiTpuaP35Xr9R+ELzX5PxEKUUZjFRgMBTEUEbjRxGprMc/IeVlpBBlyzvMkN/ni/xfYaVz25
4wzguq6ED5J3uC4T1z2nRrevxlpuvQVSUTiw6fCYgpqu6BWypNp3ojgMbZqjwObOsIkQsOykW5HG
g1s5Nk9DnVA7GAVNjHM701BUXi7QQ7NGlXV949o2Nb2C0F4+TxFRnkQyIVALonXtjuuQ3D8+Se3B
7YIAdLTj26OrMVHukh36pl03S3UTiX6TJKVOkVgfkhgBQ5kFNzErEt8hFX7GPdglL3lJ7zeioNva
Mfr38Wa2XAYyIRTMML5Xev7QOyUOzjQ8oqEkgLLadeP4MQyiJzp9OvcluBgSBae9kAZ7XvnDZjaW
RRYHWJg+kLSw4KJrdsWi7yFBxwxW+HkrMnBpSsIngoiQ2nxEI6eCl4wgTwe4e3Hop+hZiSmco93y
Qc7oPXBAQfCLnllalktUDdm2beZTSCY5KpoC4L3XopXBqN609msFL2uWLSWlqAMSWG7ENo5LfWsz
6fWzJj0PWC2GwHEPZRm/ZZnhkLOAziEHjDy10ckmpX1tcOgk9S0KsMc6buWxndN7abvZfZmPF63R
/bCzPo1aXZKkQNicHrWCRT1W2TjMKWGl2qMKOldL7lNZ/DI7a9q5FhBTKArHRrfxCWjOuEoN+n9R
mTRQkfKtGbtaYWak+DKC9qfQS7F0Ax1BbZTzVg0glbdxoBB/5uh4TU4Bz9t6ND/c6CiTI7u/G2ZM
uA4GAOKTWWIzrwNewHerJMYRaXmyjF1JSbVrNgE94Bo+q25B+EI7mRpEgtASWImszc69FAIsaudG
ZEgPYE04rOFgV/uqnUusk9TcpLBgV4VMxjye2C7ESoQvOImxAsBR2sUAcNcmeCLIbZ9RL8wgBaRY
nu2aFrBxmQxkMaG/xQJFE2hxMKHPe4IK5Y1HIZhkMdYAeCJlmX/EA6pILrpXr4SLC2e92RRRMfmg
HEiRLqxdXYEtN1I+Hk//sNQaQzbRG/Mlr2HszXpxA3RWMmZUD42YE9+LUdDLVx1VGKOAllOgkF+N
Pe+QgBCao+cMm0KuBjdh89RL92DMNKjg2VYopWDUS7WGLKytHKmKtRtOjw6IABXUHHdt/DDNQAVZ
8HE05rPY6GSOOYwDCq+EFMt32Ucc25/zsH0trOpIEcnHR8IAu1twsvW+0ZwZmkbIisXCLJYQIrXV
EbtBUrydquaCdR+YsAS/auZfhA+8NA17HDzfGyRp1cH0AvSsOVJhq3/1BuOFkMMNOx9rN8TNbUtr
VnTd65SySJxmUJeIIx7jcHxihAT/GiMcSw7fDGQDnAg3QkYMGwaDR9sqn1NlaatE/HIjA8zUFA0I
jfS7ZGkuylYNWwEGBk/KcSTfyINYWCR8qa222nYRbTJARp8Bp3ZEB/PDcHJmeBO+kjE3l/gBakzZ
EyrvTMYZpcKWzokgQCeONpMsL3Pevc2VMR0U/Abg8MO+KPT3IBYVduwDs00+hkU+SqYDNHmzuysJ
TV/FA85UaSYfTRdDE3KEt5aMiCfznFrOdBTJgBmFGFrXaeGp9sw37XiK/bLGKoH6JeI/dCS+atIX
tpOKboeEuhzks72znOEDoFp/AokNChWQcEFGHuVF9KylRrQJAJob8RdUEu9WFhLVKi+dj+FFA3pK
FWsyp03l3nB0LCKcipJBeK55K+7Cdqvc8TaE2bYKAtWc3EkCBCp5wMTAG41XLl8p0NTcqcyHeG5Z
b4FeNly2iK55nErXPXXMebheoOSlm6hKXuCeXMDY2tsqDd+0uvJunWKUtDmsF8MkOcOlzDaMrKl8
dHNjR+MTvumHpMHQHDsltvvoIcYfgCRNw1k4P5kjmUFxWrCf6O2P/2TuTHZbSbJs+y8194J35s2g
JqSTFFtRVK+JQ7pX1/vWvP/6WqZ4DxnVo4A3eEDhVkYiI1Mhie5m5+y9VkhCU2MuwhdRgX6G+mTx
TafSPP4pHfc6h1zhqBzzjeJmPyqVYIxqYIecZcNZJNmNGcEbvVkeanAdIaHIFQTMbr9A9QEodepG
xsEj+zcKgXUGuSgPADL0mwQl+8b2CuMAIhiKPR+YuJtGeorWl0nhZySPw0EoAeTq0FGfC+eAxC6Y
/PAAfMO6Y7FwjbWCzknJ3S6dGAJH+RhItHo4Aqv90CWIIOSdXuWEoAjeB3VzgpjbbiyXcdyI6n2Z
PchN9dHo8A3oQDmytsNjmeToGl8zutEkpIg7xcCAQLOQ7E2PbgcHja75jqj2lQzxs59hstVCdGYh
vQ2IYdsuz2IO2Moee2OVhwDS6x+GikVclzwLz/nSK84azgRsynfQHgs8WzWc1gCqgBfU57AAB9Eg
n2CbQ7Jh6BFha7K88Xv8lXjRn76/+BX/BGkMKbqymCo14RQQa1QNnupYN7l9pttQ4UaGt0mJ97eb
I2vpCDX0HaKV1qtuKEHBL1/Nfog3Szm+6stUB+0AqtvKUIljNBlBEvjjy9CIkOm1+9DnfPPduP1d
meZTTm3Zy5m9ZLPz1sw80FoXq52Yix3UQ7BGOWeGImPDb2TpC+7bmCKBLlZTW+0zquDbkFX7NpmA
aaDWCmbe7WtiufkuSoExRiov6gpr705Ou47czN16Ka4FQ7v337BGs/HJwz7cTAmbUzfjc8+Nal43
vsyDTsoXr+i/9ZQvKOsJG+gdCHttfvxh/s1+H77aixrdGBzJNO9mw4K+TDpB04llK3fFesV0kLif
5fgrDDVvD0sEy7UbgHd28/RCUsxaL0m7ExMSkhDwmGi150EiV7FrMWz01m33flTfuqm770vjs1Fv
7Z80yf8qhPX/LF/1X6W5/j+MV3nEf/7reNW2/QRl9538islUlV3Szfvf//JP6u/5K2Hlk6SimuPT
j/FJP/qW938zVpr4Z3JVHkV7TxeQ3QyLTk/JPS7+l38iZKV7ug5kXKj0leOa/whZGf9s0fJCfexY
hmUzKf/fhKyMf9vSEbZrM0DTicc7Nqku1+PLq//W0sn4pLUhIJxVXozz3WBhWguVLBRkManHpEMk
KnDp0KcdHiuevWP5wSuQ0B8FGcjLy4IxYq7HU7UgqPnbN/I/yWH9x6+NmJlpWNS9mDbxXfx34SWy
OjULPkk8oGCfG+EkCARTPcSo+kNF7oUpmNnQPsD3QVzFZaw2aJTrGPn4s0d6Q++8gERQdopSwML/
/Renfm5/C4nxrRK28Og6qoQa//fvm2AVYKAq1DMeOzVvGVuCLtOXob2EpSc28/vIwO+SUqKBIEkI
5Ccnn2kCe87zwKH10refUCHsLcYo49SKQ0gG7hnERwVhlRsYgWKLyYSM9lPN2kCOcb9ZctCryazL
XU6u1tWAfVpTDFzE0/YAP72NM7CuWBm1f7IMGI8/f/h+xP3C0ilt87P+H74JhvoJ/CMpp74JPjsK
XTeJC1qupbKAf//tIWThYGdgsPzX/7Qe6bBxgknFZmOXHEU7QhXJ7SdTJVN5nB4NDtd7fcyX/c8/
TSH15PzDdslS+EIiNm7//Y9J8EH5t18hhSM+JoZt8mEiUcgH8+9fYdI7bhq3WgVjTTBTHqkK7SKK
EGyel3NltljBXeVtpfD6UwEocoPWtwBkkgv4S1M+G0RNzAqdWlMEi2SiMU39fCzR1jzGSfHlt859
bk9XYmbtvlV4EaHlV+Awxs23YjzLAK9iLnxMOyJJLX8SuBbzANswh0UI/ielC7/84Ax04r5LjQpg
6Tvaq6orY0wYUqzc+Gri5Zmk4HDfMQzxGGMBY+I69QMH8zO8hHbEuIpFccBquHiy+mW5/x++lf/h
N56AKCVTG1u3CVLcUt/qvz0qbFAYxeiQtYh5IQ+qYCIFRHlJPb/CkXmYa3ENiSxfuVvQYs+q6L7O
5B+9oQDXO5JKblcxT1bC0bD1b7VetecC6yZ/L9P3eW6B8cZf1VLKszFJCxETPDJACMS5PJsrMQvO
f/w4RnaUez/Ny03eTHCbzK7eOm2PtVsjT0U5K07EFXxmvghWD0whXS98KgereV9cNBC9RO+xTGG2
HWsVoGfmsM3K/Q/RynWAb7D9p3dUPCa0CTk2JfUllqCKAZbn3mQcItFHf4WcySdH39V/8rgT1DT/
zS+rywjLMnVTdx2XqrClO6oD+7fvcOGBK+Fklq2MEfHqPDnQRTr/Mk3mQ5ORaAD6w/xsFuau8hgC
m3ActOUSZpzuo+6UVDYsC8OxTtAQPryCBixws3MtfrXc9M9hjNEWCJ27msdlkya+e86lSUzC0MyA
wfZXS7x9za4Wjkxs/onVB3kxw/dpZMTosktaDIN+r0AJVhLZIackg1JVA5yG4jhjtXWY1kwcDaqn
Vmsee0bh+DsI9Ok4VCtx81LveWAbYWbaR0OsBLQ+bJSpTZ8hqkGAbA5Wv8kK2vtCmJgMRXHpSeaB
SodapvqE7c3VM6rxXh0YtnskMMJiBP6xLW9xgQXJpxkwL83JBNcV2CjurMz7ytOUH1n+mMXRq8aR
FSB3rFGyo+VVU5Y1nmXWPrrG41KTIHB8yvRKBs40jWuomT7Qifqs5pssOoKVPHYl45f7Iv4zjIn9
YtjgXUGIArgXx8U3rp6mpaDEMaXVQ2ntie2ANa1Ed24B225ZKxBbrCS1VUSnPxSV7J5RXLdcw8Fz
g4JxK1ObwQEdVap6cWcaHIMTlwSJxwxTzObGwJ50pd+wqz3tcyx0fyvb+T7LZvOei+b/+UOYOqNr
wdqKG9Yd3e7lzWTl4TY9aAwbwQr4Vy5EkR3dZAxpqvfj+t6dI3QmjSFORiVZnTflVQjD240UQ3Zk
k8Kr5yGDN9xcvhrx8ifOPe/3CHaG3IkoHPMiQbbf//yhGva7aea7HIWEjIwhhMERgqp2ShtbUi5J
mfyUN344c1WMQIx+3redvdaULfAEF/U+m+bodx3m76nfVx+JkONKyyvy1gU+bcLZ46M3hAHJV4ds
VykvOr2SqTSKJ9myjIlqHyJHeDBy232K9eHdJiVx+SGRKr5PvlhH1ycJ2Wld/5QM2cZ0Gvs1a2pm
cd2ybRKLzpMWyWfN9V/kTAzJbokSQLiOrwvve9/vxEMruuV+AP/aKfZR05dA3AXzAnLKGx6f3p7m
DfZXT8xMrSr6GR6urH6uzUdiY1xo+R16tsPocwL99hE25kNFr/JqWUKuI7yMh6qkCGZ37Z+fvwLP
jk3451/ibgnL0T4seowR8mc+8tcfrI0awLUxzw46n0BK3DOw5eSAueAB596V1G95H5kUNBqbNU9T
xmSXQ5Rdmb/R645Mjr8cKuGDwZIkIKofT/BUzltLmgO/2FPEzoHV+Nq1de/01x/C8dYxbBxM4iw2
4BT13fkff0BKzu6GCra33/DDGWS4I3s8voUS8WLKl7JOytikgtKEp8xW/dTcHo4uS9IsjvUHtvwQ
taO635t5H+6BILwkxoOWdN9uEbWAKrOHEljSvVs0zlFkpANMkFYG68BPdsrVFA9fSYMqzewWIbc2
H4Bda+nZqSbDfLBTRRznr8q4D0k1z9O1J7dJqV8+eBbIpnQQ5x8WE2yOo0zQRNJ4jpE8ztBXxdIE
bV+Zd8RH/8jCNNUBp1p7jXitkvixngEUlLY9vzEsY1oXzqigQ4cDmq7TemeV0x0GI+sOhjegUGWx
UIKFZGW2jDeZTh4AZFvfgWbVcr9+17vx22jlV2KO8p7sRxcYouT0aOr5ofH4xUOhaj5ECg4EVfyW
JU6zc1qEGaa8ZRrbwc6/5dwP4ZazrfGrju273l3bmfKBGZrhHSMt8uVdGm3ryNu4dmocjKQqkV8X
v35oRKT1zb05hhvq2vpsFKzAGc3mQ5K8CZGW9Ezx09su2VZ3BEKeY6P94D7blU9i6PTNYjGn7tRf
ZlzROTB47s2fk++h56dXLMvOYNKFt9x+JPA1H3/+6JkY78BT5S9Wh8mnLPrqNLVoZtuehndEDIJd
21wGA25rtC0gMIiAxf7O9sJP3bOq86J1nPScBJ27VtobhzDmHT/lCICaPdxMQtOH1ubuTZd9AEAZ
FafIz1/pove3Cq3UjXnjjCJQz6g3aulqoAlJF1UHAAg0g9UOI1+dw+dxbIeJRBiva78v6ZJqNmIZ
1Abp8eevf/6Vx+odVCK21qqPrqw2EkXeyl9CmeXQhl5bqxnIAkoUPd64BcKzHqPWPIkaW2xNf3wL
mKshc2eYd1bDeZNPh7+LM4OYGguBbW0tnFZ5GW2LlN1emM/jqZ2zdhc5RHJ+zp4Li3tEwiS/9Gkz
mIt55qTT7iALvTRhCeIG5CQJeU+oN93vn39OPaJ3rjrGLi+StSvZYfiJC3RwyMgINfHOMNE4swi3
nuOq5hKJQuqHwuGPB9MQzZbcJw5X1ytPw8z4sl6Gg9YU1Ql+Kg/YmRXxqAjJTMEVnZtaYIRRZhu5
qG21GMZ/4VjNY8SgybSMGzhVL5g3Bc/2FfH3hI92/LS01YlX2nBLl4WGoue3oE+8h3qiMZ3qY0mP
nPVqs1j9bvQh/9d6/dB50VE6fX9KCmezpFH9rjauzFEscwB1W3sHe/LabeeJYltVDW9iz8ov7uKy
cNDqcht386PPdeHMp7G6ReV3V5O4piBcBuY05Vc2pDXsXF0+agAig3KKfutibLc///GiNZND5KjT
hxy/epqRp6Yxm8ckMz6qORnYZCTtI66kLeJUEXC9AYfrVQ86R9KgH9Nvj+Lgurfv0xTaeUPbIXG4
IvNWqedC/lpS87c1VvETBOxhExPhj2imHGjxX9qBlbKrKOWu4pW3ilzOBSSPIJlHo/uepB38CXPE
CFUOCkvoo2HQjdVSQTSy2pvNi/TAEWW8mIqX3gFO10ETEARhiqqY6hNZJjN5BG6bxvaHPaXRfsRT
imqKI2K9dMl28O6tkXVt5VaXYir9IC2K5Kz7HE3z9jzGafYMQO4sh+pBGnDfp1FCQ1vQ7IYg8asm
e0kRQpwkt2vwHKinhGTNkFovFr/1R753ijDvKNZ8CnS+UfT5mohjuqUYq+9AEZ8tRamn+YCYcxm+
lPEwiga8kx4Cvhijj2LcT7AJOqAiA/5KtgO4vbWNr3MndHv4+E4LKR8zybxZ6vkeTaYd2IsWlHoK
Vx9dUO8CUJJCGftg709SHCw1cvcJnV76CJQzhAuG8BxiS41jGkLK2vKmXVXdw8JYebWMHliy0f5o
IP8b3GGs/hHFL0aA6Y+W6hZ15wNx3ZOhzAGVcgjMyAT8BX5UqPwC+jx/6Jme3gBVaTJf2dWNIYB7
MHWLpZ9yFPTICppFbqfaqo9dxq5F+QyYqnNm03e+Mh3EKA+4ivA2bLEgtMdGOREw0rTKkVCaA0K4
KYQaAPdDg3wa1dBmHb//ED+OhSL/pnp2sZV9YeJg1k59uTWVmcEnoaCW4IlyNkz57wWFg6ZcDkQ1
n2Jld2iU52FC+BCyOr5j3XPq6T3Igl9Ld+a33YtZFoTp+GQoc4Tw313eLVAYcUrEyi4RopmAODmu
B9po6yzmGJPhohjbj1a5KRJlqdDlOzdrnpLYKwblsUBY/e3PUDowZ68LVBeiwHmRptgvYjQYhOgf
TOXFMJUhI0eVEWX+mfbEs6scGuDVQlRK6X0KD2eTINro/zJuDPg6W05rs/FeWuT/eMO/QXyz+ZmI
fjvXiDyUw8NWNo8SrUej/B7cTYfTjPJDZr9Gp70kNEbu5+xL+zGDCHt6LJCF6M+9Mof4NHUw8BD9
8gG96ew+x7pZTucQpTfcDUKGykJioyPpxVSdvBkFgJ0uXx7hZ+lgAzYaxO9OEonDZKDoqTH2sP42
nYxChnKfDMqCEnfWDcXmwVJ+lDlXKXHEkjwuu/0YYy0u6xbJE8mLC8GkszTqJ+EPzdZprIuo++aQ
MzDslZfFaiEh1TRbcuVsCcGiY+OdTuzoVzqlBLL2lB0QvaQIXwBuT3tY9SFNroKXCFYYqfwwDYfJ
1NKqPVO+56Swr6StYQD0WGXKyv9O53HVE0/e6rKgovfkKg9NjJAmqjDTNMpREyKrofXCnIU4glQe
mxqhTabMNvoC5NlUtpuIK2a+1E8RTTkcRCw98TWcfOXIWZQtZ1DeHKc9FMXQowVKn4FD+I8+UDon
1eWNDAQJYQf/jld8jQs+HqnMPLDancME20hX1h51J0o1+gIjQp/GSfmQZATWBK6f0UNZSEQ2Wfs8
jlaWosobvLwdJEGpsgU5TROuRD3d4dQZVrFyCrnIhUoir0RMFCepKY65ZOtTKBcR09M/CbOFoFae
og5hkYu4qFIGI0xgx1A5jcoauREhqR/XEdKjiRscHvvXpXIfUonLyJpEFAi3LXezx2nEs8pgSe3y
DHeJyY7Mm3U5cplaxLJblHXJ6uCeEiSCWsKrkQsVv5MYdDAqw+SnKOAqf1PiYnJylNOJY5ClHE/s
UmoOy1gbWM79anTb4YHQ7IlyyGCpCzuQ3gVZAevhofxNf/kWzRVcDizJa4dwNbDOgrkQXznwYw53
CHUnS8kmLZ11mM+3NQ5NYIaQCuXCI6LEaujBDRjUPCJ0qLWgkCDXFvPfxMKW8FRzNtJQvyMleMyG
zN7PypdFkBmgnS4adu6gRtqIXmYn3hkKVCtz+ZDEEHcE1tlPAzDMTWq3jfD3kcTSNYIr3ZQLPBRl
8EJvsKn710yZvcgLwPtcBBZLjskR57j1ZJYiAI3C/VYkXJWBJlBjw37GWnRFDwGMqxpEQDWqYTDy
PaB6yuAbafmGhgjxSJ6lpTKS5ajJSg1H2ehNd4aylsWFCotTU2iV0azXcZu1SM5agpIDzrNO2c96
NGiO8qFZyoxWc0Knf1jsNfAPoNfeBy0AwPc9J6QHBGtBFGtEXqhN4lwLnUdXOdg0NqVrYzD2FGMB
diJqa5SxrRevuYnBTfy43JC6pTrn154U8qh8b97sh1sntXcmg4WbixQuSjuOsMoTVyhjnFmmIlhC
nmVjAh04PUd2M6GlpQDjjYzYRYPux9OJUKUT0GDlpYukstygqsskd5a6olnO+Z5MkjLaGajtdOW4
c5TtzkR7B0Xq3qEehpcY2pUy46U0z2rlyhuR5rUSe56X49HTlVFv/HHrdSzkce21cmcSeSXgzHd9
Il7EpUAeGQ05Z8bC7cCDNDEpwYmMaTA8lQOpGdBGxvQ6K9NfXfK96yHLWR5XtKRKgrl2E/RoSgFt
OqfFTsdAt3qAKAQWg6w3UfhwrB0NPhVe7W2NHD2maaNGGxKVpVK/lQ4Mk41nDx9mMRyBUH+UCUCu
Co1ZYAuchnljn2O7Cgqq4WvPeexmYtaU5EmueOtW9bpNwJWxUA80hua2KYORzp0qFxKHeXVE/KVr
bh+ALnoqZvex6xtIbDjuy6GkvDNMActarEv0+u6iak18MOLVEJ5t3g9bD4GH143unY0XaTWLkv28
0L9MRl9BAwUIpIk61hEEVT3nxw6/LYdTB/err52zjrvDwjloVeYeAEYv27RjR7E5oRI4KZEDTwce
/hF3rWlidApIULpgpbqJQEJRkqFLTTAgoYshdiEGNrrlucACSaTEDAwN9nHjutphiHnGebbBZ2ju
j3KKsW9EQOdKgpyEeHmnFthO6dNCvM8MHfY0f482PFt+2h3iiM+VWIzNaEhViOeqSxWN86wDfxFL
kUw4y2djyQ8YJ3YVkp5aOFafpAKb6IQJfWENLHP4Xyf1RVBgWjaFHl046TMOtHm0jyCQ+q5K1gUP
vnHhTUi4ubYY4BAAqpnrSv4XMI5RXoVBMr833njVa6YrETNdJjHiQc7Tfexl1G4g70F6grC+HeaQ
qJsZu6s6I4oV9keWBIJHWiZ3Hg3ulbATYjBspmiALvaFMf6G6+yTb3hoOqOKgsBj1zQIfoXdQiJj
SsJ9Tx40q+Jy0aJnbincIJ2kmNllETCC1iuPRr2UR+GGEwdzHoDt6N9Fi93ejT1lc9r6gRG6XMXM
cNqk5FeCTG8RJkXTSm/T/GB3zXvDz+c8Wf0+E6SZtbKicRWbZwUqGOaCTJ2sg8ho3rupnQ9Gh2O7
dgo+9DoGJM04cI2cX0i0isCt6R8Dc9oRIMUnMkTaletlcpeJKt7aGN5WqOtdLTIuZpnt4YQjunMA
UrNLuk7ONVsmQSql+xM5NK87J74Ik1qXGL800V64HAQ6NujKg9nKyy8eqk+pGwiKPevCQWM1zdUW
0lzc22+yqT+RjZPn3TpA37GubdLY/TXN/FtWXtx5zrz3+nHfzzypYcT3SH84jd0y7p682Ifc+Q7l
XcxmAAIUr23L3njR8CJFqMMRd09NAaS3V/+QzVQ+seIxAAe6K2dErz7pi4pAuO/pnLlUFLgfC9zw
RXqbG/NkpGsnLC91CHNtzhkr+ymbzGE11Nqhcn7Vo/0lB4O1JWhdxGQV81rCJb9cGB/UqadXo5ip
l3j6Uye5toh5bwJhoPQVwrSiE59yLqOzzj9mBp0tthHN+MYTIzB+73iOD6R6qHmV65Hs8SZ2+CLT
OQ5GyUuoa/DMzL2xHtw6DBiaNJn+3FVEZISuPhjJvX0dqrI+hCHtoEF1Gaw0f+rc7l4rHtKw5mRL
eJBgCg7D1BvEPmzQWGflS+5qjJKnGkVfKEknEuVwUq4VvdZaK92WdhCFdEkaypAJXWOGTOrlZ/Nc
GR6RwbRnYWp3sdE7W4vgCS+SgR2KYRHm0nIihKI6jDJG9jkYf/zEMdTAZSEsGbij3GYs1CQhbNZf
ROSkTa924ugHqA8OgA81BTzgF2edadvGX6yTNtbo4Yj6JYWatDidvY8Zywdzkm2IJBBNbTmXaq56
v6aXnlMs6Hl2cCVvlxXpJ572OUdz6pEh+Nvqu6OL7Ey4wvVpm47ipWN+ztcDoYDqBAa/LPR4VNMm
jwXUZ7qJF0S75HB5gD1QiRJBfJ31qj/nUU8Qk7+3m+lcyrg4lRXm6aT5GEMtmEdP3uvKDEID73vU
GSfo2Sd4K94A7vRWcz9deZLITMmefhNSGrsbGZAHPlxpVFckipiFE8XnUl5Z0ABnE1mkDLXX0MLG
ZknOYErQLZzx1SaX57uEZqGZwbTNGAE3VnebzaTeakYXrVNBpr5jBXuSwzPv8uhOVsSu6Py63Vcn
k2dnsrObXnK/iqLspZHjuFvMl5Ki2r0eq4b90PKSlHxP8hig5ThPydYlBcJTon+JYYWvw2G+Z5qd
7Jb4026Zp/agFWgZthBI/Be3xONqhmMSsDDml8yUzcmiEFSIYuMNGyfpEFAi+rIYgazyyHeCso0f
Q5MPjqyhXvL99sic5r8lwP4FfslbmiPoymhSuuPRqw4mY0WCS+5pMtO3CUV20rWPKHJgzhFNqpJG
u9rKISt7juH2HN6k2VMEqMpbZbIA8KVSAZOR5VO6nodiPMTTtLMNcpCttBgREMrdajVsi3IZuQlm
9EeV0KrB7c4/oA2PpIqJjdMwLozxMrg6TO9nV7EajGwB6uyQ8eoin8mCx2Fp6IKupQjJEyvdNoxU
vJ7UBSvjoOHxa4f1p9ozhvabhe7vzrRFuML3vV1s7bWhfbzKzFwdE82A3M4fauBoJWft2SzdS94P
0ZGlO1HckitCmVv3rXa2+v7Q9Po2wlDSgEoJZOtuUPtuS5yfNTu/leNy9Sjc6ImY2FvuxurEHP6J
GMuMJu/5oQMpqPFkEZxUdeOBDsFbZaNy4UIxrSVYDQ35BgeAlJM64zPEddvZaEnaPISVb25Sg4cQ
P1x6jgyfOce+Oy5nf75ifw0OjW/EDUcBgU4RvtmSuaVzNhJVbWhgd3cWU6wFrndTj8E4j4KRxLgl
sf0KwvVX3rQvmVcTJ5ByJxkdkR40kdcl9bXMUY4lHbKlMOVmMXA6ob58BBP75ITyxpl0HU5aRylV
hNuOfd12qHFFcH+yMifemia1AgH3Oh5Hc1OmZclxxANZ0xJ/MC13CMy0ZOdp99Wmgvq7Eh3cpagm
TEQxcryP6pLpWLrw45orFmjMZEoeuhNtkZMl00tVNgnOCXc9uXBzpqluApa9SgIwrsIJYACO0TEc
yPMhts/1Jpj91zh2Yab7xl3FSIKxRJ8ymK04ZKbOuPLH8NjS4SMAAccFjSS9nejJ5zJGU9shMzC3
Gx86VmB0MVb0Kt1DVhxWEUEcPr/EY3Wa8fxj5oHOY/5sMNhDhgXgRzJpHL1qutYUvCLgf4tb801q
im1aQzTMGVf7kFdesfxKkibM/AwZu2uuIzepuR+O2f3h0UB9Xsb5emCkBVrdeMuZK69FR2Q3TY+G
y16ZHpAFUPDQ6E+za+xiguEczexs6+XYxZYBcFUT3o+IktPZPzEILXlV0W6teF3Rp0/CECnBl1nn
xq4W1R8HeSAvND3cNFP00PNIpDZsrHyXaDwBVi4ODqVLj9MrG9EVYTbYnxlxdrM44Me5y0XyJ7J4
C+vkjUdo0OBXle+Aq9gUd84dPZWJmysffvRZ6FqXuufWwS4lvI5m+DW07MtolPDMcIgEwDdF4SfH
j1QvN/3Its8TTXfIl+wo5xwtL78Oh6lHW6UoOAAZQZ4gDqtmPBduxCEFpsQSm5+91vNB01m+OKFB
pZlVSxU4EF2bkq9k7n6RgKOK7yoxod4/x3wyhMEpzzWJgZtWfoK7mIkP+LHVS1w010YWUGkM3d6l
DC43TTr5QW+hRIh0Z5dNCStClwdN5pqXqDLU2fhdWFq5HyC+ZOluZsa1mrr2iRO/zYvaGfhpEEJ1
bPJUNfptFkwT/2WlBrHQvwfUKXegS13ukpuo8Ilc0RpmsyRN0CWRRdezhZpf2kCJ6c7+/P9paTjF
YMZo2/ZVa3JuYjYi0471kTYU3UHMVBz9Mn8EY/QAxsPlyMR2lC3LZvRqY2P4nbZdjgsjea/wWIoB
g1rPKav0nlhO60MnRclM+RRo7kEWr5ygymOP6qqA0x7QEePK4qXbZdT2VbN8imoAAUNQOAOI2DCC
L+ziLZPsgTPzwo2+GfxzzuWRBvivGETUHGtEnTHWUTTh0tm3RrJlix2iMfBIQtU2v5EFBxX7myt3
IA0m+IxCKu2hcd5SIPzkBkl5dP0iYLTlO8fmm64n4dZvBUMz5xHMD0Zit642KsfndyUJ7p43+Uwc
RHraE8WpfOP51bCZvRHgI/fZoM7b7zpvGKU1/YoyRLT2mUjzH38zOg8pQKYtOyDceOMqQhApdgOP
fe++faqzuD6bNQ67vMXW0BM+5reJh8knZaerN8GcK4eRy1bLXT5z+LQxwqQbwSclk5R0+3KiTBA3
Z3Jh2mn0ABg00ckkkkxGPsrXWdPf5yM5Dt/5XcjSPbit/Iz8x7iSMJ94jR5yiCRnoRcvS8vvZSK8
kXxGPFyQwD7ELRMOcGX6W2oWL5ow7/K6rnZ+x8a3vtqcu9ZjBTSV0/LvrAzixnmVGpGUjpOH7YmD
WS9HPUOwCY49ivuvSEQc5CAvE+DhX8kw+Q27I1X63chxoBaVw5H3zykvnS7QM57VCa5EMdOticE7
x3DWNmw9CFrDowZEBNxa3E1NlW+ifry2MP5XrkPZ0FWcKL8Nj3U/tnvqlKwySQBYAprnrH3OGSMy
D4rTOitE9IC8NPF43LMg1g9ZmwyHGEjZxpqmDW3aIxX7Q9EbK/BWBCNs+eooq/lSdWuMQhdCcNu6
qKxt2ScWVZ4GblqMlmsomQgbHpde3VaSNU8vH/B90NBwaDNYtF2ZONEJBnOA38yKN3bsnzuy5CtL
ixaam8VKSrehuakl+9J7b1gxHrvZ3Vs0iNa1GU8w2KqNs2h/kNNejTnejfxio3eWdynMjRVVTD4b
S75hfAZFTtVZFlM0e/b162VcJr6JHom4Ktp27bHOpg8eV956yM2H0kcfomdZts0rYcG088yzlNkl
yzu+1G4L2+5uFFABWodjAPxHRFOhagxyppUd8pR5yk5pYU5bJglhIJ/n1Hma/fxrNiK5cnpxtpjk
BcScSEsxI14PaiqrZYCM+MZOrtftYzE/69V2blnNZRDZU83zV6G3wVpXrfJU+yqNlApz7LCJ5UoX
Nxgcs9mTzKMOU5aQiFD8AxFOD7HWXdkbm9hQ0s9k8e59xk6MaKgp6qgKzb66UbY7S/QXgaU3hE/w
oLLu/Jqm9DpXmh6M3PgIFnMd1ME6xOlMd1Tvz4vNOTTy2wsA7qOeIuyO6dlovlmgFwovJKVuFiTl
KnM4djnLW88PuoKnsfLfKDFOYbvpG61f2Yr8XDoD5ZDCRMClrqqUl1+6bqGl2ARVxUzKHNtnbTng
WHvhMQH0ujU3HSvEQynhGQrVyp0APvJAVGDCs237h3xibSvTltfYfO6M+j3RrFNChWLDwu8J6C4I
56Y99nPq753M/d3YKXk4g4NuwawccpOrrwmISJJh/atjztxUG96/9GzjddVORPJC8jWRBa9JZyye
0BakP+jviFYSL9bsmxCnHF0PHbGQ4W/d31WyuNOzmmcSsa077r/rkKzZKp4suRkdoj36DJiILQlV
5wRIk57fea3/yeEMBJ1T+2xJCsJGHLqgQPMeMBa93hY2RcVY22r4QigMzcuqt83v3Em0uwRiGdzu
97FR2TM1OSX5XW5sbk9ghXglSLaUHBJI7fW8p1zt2jrGzpmIQcaw0Lm3UlpE42QxRmLcqB2l3b5G
kc8vLe2KFbSz/bw4jE/IwSRizokChfskGoOSDh/3C85nSBFjspbizorvvJyoYtFov6rYpcZnwmXA
HslwJ+QmwButIVW/Gsfq3mDsGSYl0s1K1NuU4cAx8ZIXfvjAKtAhbczBvo3CWRnlBLGwMJAOEX3g
+oEAlycvKIUUaFke71iOhgHLcPCIjc/6POFDahfHYoQjQxzAWb6LxDjzPJ4pomAO67OPTLqvnVgg
YEUWmBDulp2RwgOkmRiPBSfA+NGzozrw6vKXV4hrUuONHyRLp2YmiAQOsdHSh6Fb6q0/JqwdbaaQ
ubZkO0Y8wFL+hFBZ/pWr81puHAm27RchAgVTAF5Fb0VRrjUviFYbeFPwwNffVZy4Z06cFwSp1owk
kqjKytx77RsdWaG8XcG4NDcopDs6wmIgfq8ABRC6V98s3CcSZ9ZNwc7RAW1/Mkji2c0kZVsTeigL
pCWHbetMpm+67kBYcIJ7E4X/c+nzP4xg0qeO0CwUJNincnHkHOXAUSGIwIzK36qRb96EgRVDn+Zg
43WLfwbgT7mByNrAnNOxDGHHSyX8AsLEbHxfz7TBh9lVuwajrzacInTNpm7zp4cQ5YFN3XVSMK3w
e+LZfCCCFl1EZj/aV282bDVBuUn17eooxdtGS02G9Qb5OXvoEML84Xd2kvZdRhjEvJjVGxsV05Lw
JbUEaitdnDr+d2NP51gfVwMU1BuvX/aV2ZyyJf+bKNvbtvCml+7UxuE11unbSFx+l321Y575RWGG
RGkc1wPeairIlm6aepnS9DvSvQK2I8jzKJowvyomL8HVSji3Ivth7pMtxSaYMNI3S/2Z0WY0Q6fc
ug3t8SjqN70NURZSNhoFC7K/M3yGDcZH9NoVYJ6RPSgo9znBMhNAL470GIs9c1iHkeqeit46Z3K8
VyaevLpr5qeqV19zwDiqng1c/UF3NvBOtAZ9T8Om8Bnkh2JIzojsRxb/tYgQ348jW/oQf8+Yi4GB
Ya6wvfAXN6K7C5OABmFOHlGN0uXJmLO/qvaMdUziHVFJz5VvrJHdnozcLLaT29/ZMljoMv12OWIt
a/vX7MFZ4GCjYQySynJC7UHgkZ4998s71v7+KVYjTso4/jE7YA/qpqMqExum9C+dFf/pwcwueFhQ
onh/S+/Jbfgg9JpIm2s2bWxxnJ/YHNaMfbGq6yayCcq2fGk+CucPYqb3ZjTPcqTHAb0BoTEYXEZ6
o6biyrT/Z+4CStUJYq6j2blSU3QHcLqd5uoStZ6tYZOgqc1OtKA2Uehz0zTuzyCm1MSOtE9nAlB8
gL2FboiTUiy2YwfNtwPrm2m+rwPo19fE362n6b+u5gCPEVE+gfr2HfOrBU6/K+2J8qKGHTwhWcPd
/Z0xPNoOAIYXhU5gostlFChgG+1IG7Cm9VjUQqSIQnvW3BrVFW0gIAAi/sC6uiVTI1ob3J9tyPil
x/zWD4zRsJa0mzsS5x+lCAOiar1sq7RvztMOOkCqR3rx5KGnxt2akrWr3XaL9t095uEtVjyBJS/X
3jzc2PnG7Js/TP8/eNXw76G/WUnt6RMpuVmuWYXYGgqxWk0ftR08BxgBY+0ILAPad2XtHiobOEnF
UO3Jrsx8t0gOtIx46zXL7tGIGHJRt1oUMxXjADyIhXYjWtgSS+1PjIOa/DrfIRBIuxcx3aJN7Eig
w9gYaIfjxOoHFPCtbKrfg/ZARhHxUiB51722R7LUPs0X38Y12WKfxGhe89nvPi2njjcCi6WZPrUY
Lq2O/lqPBdOoeiTDQ/97aTh0LdqnqbRjs8K6uWgP52g4E+DZno0Vf2eonZ4DnAKMnzJqvukW3kft
CI20thg3PC7Rh1/0Ymr3qNI+0lk7SkOspZ72mGYdgFwgGN+ueBu1C1V47QsTrX4FCuWe+MT4yejs
+3IbciZHis3xTntaQ8ytnjfdrBa3K7yKVQNg4OHjBRHJrYI1NscimxmfRVm++tBm6TovnHtm7v5Q
nVLtrp3sjePxFyjtuwWPUWofrtCO3Kzt9k2UnYKGori2rb1VqxFZGWfKNoDpCkl5hZTgZmqvL+Pn
o8lrv2ACNrUbONC+4Ek7hG2swi2WYVRgLK0wJAEhlMxf8RWnkllE+PAap0Q2zgOtU+3jndrKWBWJ
Og+o5boh6Q+Gdi3nghFMIwjYw88cEDq/MzmHiDQBD075v+qxP8faB71oR3QlvVuJ9t7RXmmy0jhV
BOqdBjw904XbGmO16qCO2hNea1eJN5wCVBkp/tssvWPJuifan22bDV3E5S2E1TPUOLitie4JLqXL
yAz5aQipL5aKVgOYnx9Ke8BHzOAJpvAq2zAfzQ/4eXaLdo032MdN7SOX2lHeR2yu0lcnsHLr2Vjg
o03E+GKgSlZkd9VrC1fwqSqRx/bG8Fwj698iGmf5M46tonpyzfnN4n0xvQkx74TptopKEoTZ/ysP
5SuAtufFNyhi2AexETuY5znP9fvWwU8vMsZBFgfKoOy/hb3I3ehn5WqakcUPVKFs7bmJ7nqOzBW+
yH9IKgRBYZS0vbMKzqCHHCAV/cGnz3SUrnlxojUNa2b3KijWYxp/Sxt5S60PVo3V3TpyBZ/gupdP
4WKV66JlatXVZ8+eviy4Vfsen9sQYRktXfVDEQMjc3g7i6YUxFuKPc0tqB0IBr6RYiRMiX3RdAOk
Ipqa2vxTa/IBGt9Vr1kIUlMRKvAIsd+v8wDokuYmLOWHY5fjdkh5obEa3GQjh13mDTDVy98t7h7s
S8W76y+v7agQAPr84MVsVjWHOASN3mHQEIdieesc63XRdIdFcx4qgA8d4IcJAESi8HOwJWyIA/0A
e/w5KMXYDgLfFBnw1zRHYhginNrehwdggpinL3rk8SrJumtejc9+mK5YKYotFiKCr/hAPhkTb4JC
+a4JFiFF28ocKWRVcwyb/tP13OGCKiJYgbqcnnxQGAIkRlXAxgB5P6KMgpcRA84YNEHDB6Xh5yZ1
qmZrUEI8zeA2pOZuPNAjQFQ/qaQwjLGR1ZrSMWheB0z1eAfGB5mk+MvgjWVK0z1a53MCo2xIO0Uk
Nd6F5oDQLirPhR3sxwCWCzMu2eO+M79jEsRkRmKWM+o0XZU9NXMzrwxGhptQk0ea3PiUuJu2jld9
BzHlte2nl9hXYGNtuCU0U/buxOh/Ied1YjOmhQTnxNPEE9e5jJqA0oFCcTQThSgHKg3NSampYjU3
ZWg5qvYuN9hQwXMpNV9FatLKAz1iZ0u9h94C+hAeS6rJLMhgftmgWlKQLaN0dJfxRGsxfkJiiRBN
8108TXqpNPMl17s2rkKgMr1HD4KU6FwzYth76LlrbkwCQIbpTQLREqaM/4DLWNbTAG4mBTsz4WHd
loBo7AKzev5XAm0FCi8w74exg3k2MTapF/f09SmddPlcaMiNMTHJ6NPk6NcBc7B8pu/r/MLGYlyK
drrMGpaDXv+dwQ2DJW/TQdPBc3mLx/YaQ9mJWnNVQ93BnJK/ZEvyMpepc7Tr9HUwrlMw3T0N7FFG
coozUuLmknhjDfWpoftAzPUPE7yfAu7PDAlmpZrY3KK38E5mlYa72WmNp0pLegyCyDRCiHJzV8MU
wmB4npkpa9RQVrtXkoyRqEIhGjSOaCCfanI/XI0pyjWwKIBc5GuEUZhOz4mGGqW8UgMKTVhHnSOX
dRMirIQFtU8iMawhbqPlLIBB+UlxLzQ2yYOfBN35nxSAtKPBSumC3Gv2ibLV0KUe+hLg+lDDmKI8
Oo4az8Rn/+5oYBOdIO4//1BO50T2u5w81C0Q1ZZX/mPSyCcfkqUFAirq/bM9Ia7KfRgXAzIbhpab
OB76s1+0OyOF/edpqJQDl8RvEx6IPHqN0JOTjLU2IVH5DySVhlPN1XuiYVUB1Cq/jNV5RgQo+the
G83DsE1oL6grx+Vv7cwT+p5yIzUOy4OLlbQhFehCO3aqi0PslHu+h0NkqnFaGqwVanWx0rAtQhz2
jcZvKQ3iQhYDkkuPBeqhf8liFLMMU/W0FI6qRnkNBkYJu10RG8SNEVIlTxr81UMAK9H/rBxDfmF6
CRCNwwnzNGeqY7xmQxBTGiWW98gHoHtcjD65FRo3VpPXBQFjfJ56KBR2ka4GvzO3gRe9FhpXZtfU
N5X9E+Y37QaNNBMOcDPgbQcC6uQmVRtL4892jUahjaUKuO/AoxmcMYClFVDTDE1P0xi1SgPVSo1W
8yWKHOxg4lrVP83R/Z1rDBvRHlsjhGPL74S20rXKvaSDzyEfQ4pPI2Ay99DEhxPKk10ZlL8UbvXD
1NibCPS/7mD+wjlx76jwti1b60qTSF2j/wkOfRn0bL3xwIyB0AG/aaAdniiQBT2Sp7l4Y46GT1/P
MtXcfDdFhRg0QFtC9veGQ0K+6ZK0Xon527c4dCUac6dQJTBNmL/I5ioRdTWKBl52DDUej51577Jp
g7ujRUsTfNMCelylC3PGtKI8czVqr9DQPVB/uxIKXyU6TmABHVjEhPaOyKotwAEyHDS+L9YgPwOi
36LRfrWG/C0a9yc1+K/SBECbkspCb2rBBuSnaVBgpZGBYTTtzaDFoaNxgrEGCwo7ueBtyWuAg1Zm
/TYiMHJteCxZdPisLTvTvlUaVYgBBfS4xhfWcAx7eIax5hpGcI3BHCbGAPAwhh7AqmCMCEwBJxIb
g14SkrfjbOKWsYaMgSd6UBRNaIr1wIfH5NtIGD+LsD/PhtU854bp8PZRimVd80NUPhRoOI20lD10
U6AbQzp5kByFRjoi54crA+XRYtywCzX4EWPmG+68P6lGQjr4pjgLWztQL+T7aXBkNYKQTGFJBrT/
9zgevgykY8iJfCu9ZrRBVv4sFAS2OLtGgpHtlMU3YUSuszdKrC2Ndo0ujk8SnaSrkulYi1Ky1WSE
MrpDxfsK7eZlHPCKdIP5PXDQpHkUH1Gb1CunJ0Inc9QLeffgu+cM/F53CadZEZvYAdsM6hnktDKY
7tMfYVR7ZItVeyM08JSgE5pFd8rzmECh0mCCFBFEiUOvC0hMmAoXNmP6p8g84jyCZdInymxvu8gL
yo54V2ZKyAIAheOaJ/c7Gzt42870LDGnX7PO/sdhLF7mZz7L+cHPml/oAqPD7JIjGQbGjRnGdy0n
LDX62QD1fXat4FRltXlpE80Kp7MdMljZdxja1TQimiTK8kk1tHFiBLcbOiAoFLN03gyLQVRYRRoc
Ss4o3yOJD7ZMMcj8yRSpNfryeDQIMzo2Q3j57+uN4RQ7jPj5Pr1wympflcTis6DgX/UIXwQinLsz
oSTKYGG3g4OWv7OiHf3kFhRAEB7yrol3ihhmrULHogoSYl0Iq78hKAQbnvB9OI+YuGTpzzZwrQ0l
v9gYNEnhUxo+LsUk3JsdNffkTwcICWvu5+Ib1T9rHQK4jCgJclkX9PK2Pn+3nvtmlcE/DWGf1D/W
8mGTgUWfK0uuDmjwj5LVbSSw/p6Mnny3/N1Dysd4M3mxwXI8/pPKF/55JMKVvmwz32Ea7KyakEPP
1fEQOpD1fz1l27sayvtoemt4KRoQ76K8u/qCoKM6IPb5NhFK2HPvXEPTr072PO7IFUamJuCzGjK6
9kXnXQfbBooxhdsSFeYpLAPnkFnmW5EttnyKC/84xgCaw8XLLwRvE7Mg3JMAon/ijueFnVh3kxye
/n+Xacj8E0GaiLq8ZNngmaBH6ZMRginPuZO4Iq/Ck/tAFdaqLJpxn8gyf69xt2ehjmYdzfwdoMrV
yUb7OfDz+Cqt4UPNvPHS7MW+6YzpDt+2finDz2xepns7E2MDlwxkO/TMi2FVWHoxc7SDf6/dIoTe
l4a/BXev7+TF0QEvA34JWrinfB3g6XUbYhTCvaulTB66kU1HdbJP80x91Skbod8UnxjM4HgH5GFg
9FgXcSK+EsziT1VZsEphMyXZUgTo61pmV0n7ktv+rwdDA4Getvm+Jxn8+SOQAg8jMa3/OUBymVlu
uVcx4bV955jnx6XjQ/Tvo8dTwQgAgnm9FzTD9sYYBEihUCIHxfAezHF08QOmXS7Sh3XvtC7yPTPb
Yo0wEdPI8cNSTYImulcH6YCY7Ov+VNiuuvx38UI+1KXSf295EL4t0Ij8/0uk5amkIl8adMOH8mGR
RxlLmvMIzUASL7TCSDVzFMhbRrxdd0aztCHnIr6Sgaz/3PokI0aOT2aFkcgNUIwjjcrjsyzaPZb0
aO/Yyj0abSz8zePhkBAyhZ921QYAI8QjeTGy2CBccCxt3RIEifyurMlSJBOieTFk+A1FqN4JUNcn
f1zEKTV+WDXkBEIkx/Cdjd144l7uXjiwoWNJNSwISVV9ducTWLdybRo0Z83JMleVW2bPnk3vbGHm
INhtHpMElXTgb6N6a+ZEnQKt/WPZ7sUrHPlSmcsP8q1rnWlu3n3WN+Tp/qaYFmNnuVcP/9AHfxzx
F+40nl16uSRRfoqsN/Gswn2fjR7dsaJz6pfBz2mMk5OLbZzhwsyoMLS2Q5nMhwELAWVDzDGmIIEV
F8sB1A9yu0k4z3Vd+nuroBIvsPVBECvQ3+nX4XGJTCQ4vZq2rWNSfmiz8GDJC4p66+BoDzi5ThkC
eex5QhDUm+NX2Wbd17+LRb6whUxQNp00/2ACQ59AU2AUioK1udTD6vHOm0vbPw1pQmS2bSPwx0qk
TsyumnZvNeIjw5nE8MsubgwanU3JLUlFJNU6m2w84ll5Ic4u3vhTPJ1MfDerUXdcW8azSE2CE1rf
8CTgnUGILad1aplYhLP+joAcpJ1yozuKucM0RWzgwVJcqtgQBL95yclAVTH2HmHaza6WV9mI5uXf
y1jVz0ABkQ+XwPJCdRvpgdzSZjHpZyfBrl2WL1lLe9+5YbmzKP3olHm3ovWQ9Jr9iGJ4qc/LmFas
ZNMhre38gzcqPkYWybd4Aoo9kTzH0YYmCTOxc09RosgCqcKUyOxGIVd0vrJ6pEEo7ZG5k3xrZDS8
116TknVJXQmP8VMkDV5BtlSndIcdSIHqVbiMjZgsJJ3Rf3gEjdjjAEoRO8gPe7Llum3rnHAOnSG3
gICYrddGjMk150MUwXv5XnKH1F0mB5C88UtlY/bpUGNtjLktt8jkVtGy5Cd78XMOoj62Xgg7KM15
6itf7Zex2zsTARHAVg4jxF7M+nrVrvDI9CV40HAmLNnz3FulHHrCY6uzlFSz61GCX3NEnldMJPwu
vfkbhBWEzZRpoeSIsGZkXpybuEaX5LXky2m4VJb70Y22Ho5SGl27xZ3dN3LG5cr3sW0VhJ2elVEE
uybxKJWK6eQA4II9XTPUSrv5mvkfmBfHS2m6xiofkYkWmSHIDqO7Gn90ZmVcKESHN9voOVTXL8Ps
WxsaRtQmMnYx9cxjtp/6lkiYB/yIwHmGa91P1+jcVyf9PRK39eTSmK4RXUD3wStnIYRknYixyRUp
B90qvSiNdMCHap3+XXwy8Au9xhXROHyj6UorETgtapy4enYEqvPKNp9QgM3/SCQflh3km0YfJSYd
mL1Q2h35aOYh39IL5jEkkxeZeSuN7rfIkWXVkS3ODbBgKsbGfbVUdolxXiPMAtvgYF31lIvbI5iy
I9iA8rakcb4xUNig9Mdo4Irur1fbaLH4Ky+zWRaXHmLEvins+2BhO2qbEr9QNYTkJduHROYPGzKN
vEFa79I3ocNUxAVQTGCilclmTLD+VzpKAwuZtX68saE/3G1zxAeviuUUStIDME8WVGmevWHBDjEQ
kdwwxL0BCXou9eJAG9Rs5/PkUIGlMkQy0da/WotNPuIQ8FihyComT6kf/1oiIeQm9cGVLB5eg84P
DyIujRWOIwIQxxEDxNxixI6TrwjCxWsV0cCm+PMOHucTMvhsolT0xShSPRJmhU7vA6KkZ5/oi9Zh
6TMCO8cpTliiyHPzOOV0yGsDN1oMuELQEnws/nMMNt9tuQ9ARfaINXpxelwma+b8HRQlTZiAMjkT
CXP6xnB3sTP+QMOBOayJWUMCFzpS3KFl9i1xjBklbmY5LedRX6bOb4+kj6Ezgc7AOdqbj6lu6WV2
epX07qRBTRQxGXpmo4eVbcrmWKfFjxxGGSE9FJglWh/ym6TJTUpEgfTUwCaLgsLF7bfL23a5zpUu
o8foBuwn2BF77fx79mm5Sd9L4Bfa1PgB3MC9DEK2L+WybyTV32PJmWLCCvtObUqRP4dz2B1ce6Qx
GDfT1RxT9MQsRbuu8/2dge7VhAhOGl4/M4oJi2zdZ2Le92SMK/QAdyTgxopARPhMNjr0pizlrlQS
ZDfFRzuk3TmY5MhZLH8tWHjWGJrGDwoaUqObJaY7JWHpDPMZs4uxq8PW3WIA8e6DzwKxZPpM7yYc
NmW8ltJKdlYu1wSY7J1miO9lSP3Q4i6uUm+1qKQ5t40Tb21Nv/j3N5+S8Z9Jr4DId2+La1Fjzhxw
QEfEgHZ0iWcgD1YpJjdiqaa1qW8ZgZFjn+undj7Eu9lI1AqpSXjigUKzThCAKlOwF6iahdv2VHwV
7LI2RLvZ0RRMCAhF9LjsZI3oG+dzdmbsmR4iVX5WDo3KKfbtY1pIwrkSxvFIrp2r6eXh2su7CTNQ
8eHjlNvjFsw5+oPB8WeU849w+hSCVyDz8zB+jUvvPbsV/QuTTmWEUe/5cc+Baxbr1Ou8i86XOsam
9d6k1nE0JvNzRFC17XrnFRNt8+zQqbakBPNFVQopGbyNzAHhKlVpFS9ekQIFsiiif4plhuEU5Mve
NxV3KjcsDcF0Oj8etfF5kt/aC7TIKHnG9SVvgrL0JsEQwxA6TXkIzP1/vow8DjAT2LV8KjjGT+4m
zZri2JPeDQDXrdazaezMRNpX2TEY46Rg79OBZBhBQvfM4exCF23XqrQ+p5qZhwUhPHlNv3e8hpIH
tsW6HJoMvF6UXQw0gixnYGxn+WZWg3/C9CMJRsg52w/emr1uU5AH86LZ57u+wyzQyBoU8pyE59nt
1QkC+XDzU5L4fGp5kmmi4fa4KGGTFVH8MfPlxSk8Zt4Ul4GYbrkO1h7mFg6Vi9ImmOtTIrtTlbrl
qSGB8sWVZFLozWBclFr/+1ntK+cHbLNny+DjILose1Oux5sRWf4aLbCza6s+O9iB664nAFDommfo
RE1PGt7onqxep0ZO3NUL3qdTVQtG5gGpjwjSBXJJq7yn1WJ80f1kZuHKaCdLmOVQfYudalLtpGqi
6+MibRFdu8iZj03WHBi6Ahquid2kgQj3M7EnxBpWarxw51FLZOE9EEj0RI/Wt/IWxcAQz3SqIPIb
UWBsDBKD7rbzlgOMQ+Et2Q/H7NwxJd1ZlU8zpVYZJXTmiFMPIJ/5Gnt1Q9OJrNEq3AK7l1uPRfsp
1p9pPLCAG0BgbCRlRxMRvLokU36e9EX2+ReLwsSWk2Sn2qvUNqgXzN3oMN5mqobehQhOuEG7rcc+
2GO7eZGtIATd4gToIL0+tnhPnxL9k2wtwlOe+qcENHdy7T5+TXCbr5RVxPthGADZIJ4iSIepRmJ6
+NhpNW09EEBIX+38NkrnOkS5u3HjYN42YZvfAiGvDxBUNkz9NhnM+ZT0iLaqxPHIy2ImIPMWxlpT
fqhejdHBdWsfXcVQrYour06IxKL1ECzjyuDs9FT33bCt6ZyWlVVci8IdXrA91TuNhkE6ZF3CxH2h
xdO+2pC8z0ma/6H0Hb8yvEmjkecA8QJ2VmhKhpg5e1m5Ooox+JvOdnPuYuXhuGBuxXx3OZQhSrOi
AU8sZl/dnNb0dib+zGMjY2AXcwS4ujVWRloWz2Xo+msjtQB2Nb7/9PjVexratCkhRz+eYrBhRQO3
r0MBsH6POua55GDYS2xN/E4XPMe0261gXY2uc8qEV+GftpHCSgPtdGjDTfVCm8jvEPSDArY4FNhs
08lob0MHUcyOcHrUXfBhO5QVHae9tVh81AlaUb+yrUaeKdfk2SVj+zDFxaskcykLg+S2lCJ6s8eY
DahNjZ3QAUmVWJoTQYFqG8cu83hfrnvTSn6gIgVMgUDzOk/Gz1S2xqZw3fI2evHusaAaYCczIUca
EC91FJkn6S3Z2YglCUiG7qfqvzLBdOKyp6wNgTBk6e327UFXUvlhDCbnCinJOaMFgzPhOdHFsRJm
+wHTYlSpnZpvjszsZxKLQ9egemnGlWcZcp8n/VWIgo5Vx8/AQMjQhdMLLRXbhm5+qotUgo40e0wW
L2YPGt7SXS1OLU90TIyr6LvXoA4zFkz3Ryvn5eCSFVjxfySrwz5wrg3X/x60rLJZLTQKcL8E0a7x
c63ZDIpxL5hbnibLZ1NjnaaZDK7RXv4hywBHve5R9FZwq20zOhWhGx9lTqketfJgRfkf1Q/ryCVI
HN8oaYZung0MbKvg2QqT9BIk5HjrM0BjDYAZnGXfkikXIoyv1iNHl+OD2yZt70stDZNC3NibVvnd
GeLoR4wB8prqi2zl8+Q05VHBE7GjcWd7ufvMDTCCGNKNTHx8xVG1kpajkr9bqwK3kI3x6/zdY+fY
5iXfaZj9chKy33gDe0wNh3PuhPGhCCSh9Uxw4rSIj7ArohuQpORzZdNvPqnGyrcWogN4XKCzHlbk
ci7jS8+6lpc/PegeRJDx57ci8Z//e1ooZzg6oJn+JZ9l5hDsasa4OHlyQizlquy7+l1YaG9dw5g1
gT/jDSXszzE7f2cFbL5thiy5ColpHDIVgSJIcb0m9bsZLUfy/1CF5a9asXrF4J/cHpdspiCQWW2f
8CQb74iDwPrfjM6LvwG2MoKN2j9WhjdxMDJ3L6qJNpuzi8eI/hGMKygC2P7WYYk3UxqB2lTGQBph
X9NwX+Z+OIZ/1FgNx0Z13Q8m1Nyr/g+vxXgKhL54Dfz6LM2Yc3hTLtuQvEeU36rZu+bQvOTlevLI
hgq62fyqTJv3K0jufsGQ32uHtywb9iRxA7NTSAL82G2Pva8i9h13vnDsiraRAx4ulH14RBSOGcer
mPsZzY8m6gdSrqDrJByOiRAKoKdNzkI6XviXThWa8SCAtMaiyWKM/ozUOh/tUF9ejenojqYCywJo
GWI+syGqYePJcKyzY8D0KIT8WXpqubuJfQWz6jwLlP0CKu6/z3IMsrbIq60JneDHUt5poXpfpWvS
TCXMcWtPLdm99IZgT7rv9NOwqTqfYPCGTTV79is5uYiwGJ+foBiAgWXm2Sf5l23M6tBg4lmXrO8l
lJ9XAx/U+vEoSRkUPh4RB8vE3Rw3TodMOXUT6+VxcZIGxaCHikl/qZ/8/Krnsg2xz1miuhPFYnHv
isW8JezYfdoCNGUHp1puZoADg4lOTF+WAMAAvehuRU3xMsrC3DoZ8384dhUSHSz5PpqBMxIj7yl1
QDTIMQ4ORbyQEBFxIuhGm/mvMV4qfzqLBUGnY1EOTf2Bw2l6IuZeMAzj2BM02ZuEePQFg+QTn7FB
MQCiIhF5d8lmqu+R+fw+Bzu9dRUKdhtKClYI74/CYnMbKKXr6Detx+TlcWFs6+xj/Qt5pR3czL+T
h+UzMaLhxbXxJMZ07F9QLXO61FVZNsFXqQSpCFFa/MrQwtJjb7NnhZlgzbn211jJ+m0w+g1qOeDT
eRhAD5Nyi7fx5qI88/KhR9RcrRcz+DO1RXm2vaj+XDs9xRSCVf8uO17EegLpUOmbpMrUC8er6HsY
qMcaOFDoE9qd59bFu0qZ3KM4IIqOQJpW4yrMpdtMk4FpofV8QZ/RgQCzEMgCcivBc438Ix/ADQ4o
BzeQV93zVKM/zzz1I8PdtrLjPw1q5lNDheC2zUtp4v991MEkOV2hIXMAMPrAQbxVSzZKDlym/xPb
MrJdD9UpvTeCGyczPakpSFHTkxoMl+NcD3VxouY4MRLawogNDrHuloklrvaPjaNNkLiEVN6b3KiO
Qz7OPxyz7FZtETDuoLjIDKO9t4s5s/frcA4nQHiOsfyIBcvi5/8xFaCQcQqaNxe1JGST4mSJwoDF
vZEqGp9yEjyP81yJNw9z0ibtWrF9PB0s0hLNRryC4YKH6Gu+RTz536omKNQeqo+xrZtdSx76vmq6
9C325592K9xrm7nEXYrWuRYz7qYSTc2+WpDsrftqIhdiNi/MgnGG6L6oIgnrRYNkODfyNcON2pfJ
kvkRNhFgssTjW6LO2A8Fb2dh9GcrmGbAgvRCi7xzf5rp/E19qu4dquZgaZ9Z7uo9AM8CKXHdPrce
C4yxJPWusOiN04jCsUwOzLvTciADhowLcabzPC7+R2rYl36Rxa8WalbkWFuQQOadul3cEVMg8zdR
XjsBEwUPxsBLU2kZpAqyn6Lqd4OiaDRtpg8+Ca3nwSEecNEva+FNp8EHMmQjoUMO25MRb6tvbCE4
A6vowNLjH2PGvOto8YZXIhhXDSbeT4a4CFgEFvmoTa0TLZZiQzRgdJvqPz4jsBWckPGTIgA2tecp
Z+dPvMFJVfXb3qqSC4Cj5OKHFZPS/57bffra0LTYP77039cfj6q4Y6ZigFUKinDcArNxcTeZy/W/
i9cC2vZk+Ds1om7/+HosB9KxY/HHtLrM2M80oU8T6uXTLFvrEPaOuMMgHd77n42FQhAHAU7Npptv
vNJM63zCyVnVmuewBJkUdEHyYwCPtI5iJzsIzctvunaP6WtvTpQWEFHcexiGFzaH+cfAIJQ6QwAf
q4LXKkXKY9m/KxtfRWT2zruVssETDriXAvTX47yKJJ/498nbVsxtud1QzbUBLcNHU0KZcD9mPDF3
ZRvdSxbuxAd86v5XPYthZaV0E4Ss8hNSCj4OEi7kQK/ucRnNCc4GAlte8HfaAgdiYoKLpy/GYNbm
emqtv3wuHbD7VmWu//0XHNK7djQxgv/Pd4P7WsAFLJQhQ1vfJm/5TcPDOjyePS4qjMSe7bBmp6lE
jR0KLVcjp5MUTbV2bFyXxIE5yAca+0jb/KXNQuf58aXHJa9iog8VuJ3/8w9e2L0LqZ6bGvS2Tw7u
xVjsCOJK/ukvqj8O5uBseHUXCi3r75jO6gv3Et3/JZIH5RbF17wmgFB9VY4UB6+pbxSrdIY9y7m3
9sDpexHOB4oZPmGGWb8nXnlfGn9b9fX8zygJgcaqzWAbXt8BNt12xtH7uowVe3Q429tHdZ2WJ1TS
qyqJ7GOXK/SOXW485XMTCpyiLOn0qn47fswJzCq7fTQjk4Aj9xeOlTbeNRV0G7v5NMnCMiLgWa2o
XiGytCu75hnIUYbegJoYoS9Yxp7SxrllabRSpv13kp+0/jmaWl66yztcgNSXSJOd1EYw//+oO5Md
uZEuS79Ko9bNH6QZR6CqFj6P4TEoFAptCA0hzqSRNI5P3x+VQFdKypJQvWskEAkNEXKnk2bX7j3n
O316kiSl8saak7e4jxlpkY2U58uaikbVo43QxK8cK0ws+Q7tYLvzUAVIlCAh8UkkuEbu3OyM9LNk
EnyQiQ/ojsk4opVN7EFSdVPc5wHlpo9mjuE2hg4FTBE0S3U2ZXsfDhpJUxsT4z2hrdY8INUQLsRA
JMGOIVdTTaw7Q2S5xCZncBYWexpdOmTvmgzwmmH48o0lyE9aFNk2MPwv5dL9tMmdyhnxrzurgdvB
wXBbt9RsccwZeYi+jvS/HerMNf5gpjRAipu+rO9wXME0pr0XBrdJkqTnFL5/NN3smNggSxiAqlPu
yL0PU2XtN8SuueOFHmZ/KzCvValNHpmaNcZUT6AjLIhLcjhad8jRAqsFiInhxU0poNjJPkUhbZuI
fixSiMX6aU+vIfK3VWla6joppMqRrfuDxo6cD9hCaUCextYuHmbNcpEwz1U2rbDFAh/Y6bEPi0vb
lZc6aoe1pk5fzVJCwUjYI+m/baburQlJHKGmBrBbRfedIYOLScCI8juAKj2n/ETh1KaaoWNpktjW
YeONyadjkzimlrmvCFQHK9Yau8oxwfoQycSCj6nLgUa/1kX90SQ9bZX3NaAXocJtaCv+Bq1Nw7pL
vEyt4wgNq4tKenSl/dEw+3UYtIRhzinwYKs9Fig5DlWCQ7Mnr4vZ7bMfu/gupo5eG9J16SFadHR4
j1aY5vdCFJ1DY5FesaNxCNqZ2RAc617c6MHke4aRKwMk/zGskuTY18am4Uyz8ckZwOgFfm3OgYBM
of8aN8Va21Jvh9n2DonaxPFbiG/8kQTs1dCp5Dh3sAJsn7essQeeSo1HIUqtVb7IvvHKOEQr4hEp
Nn3pZZcBImMTadqlmI7qqQP3Enkj4FbGz6SPVmODeiJ7hG7A5Krov4Kx+wiEYwKhKPVO1eNtVJjk
MIjmC8eShGNzM3njq2/HkBEzz19UziffyZ4R7NlbiGesRT2F6+C8cYjaCuF8ddFEbAKX9K5y3Nlz
Zu1k3+plSJptXA7BK9EpGysZiYOyD09hjWgyBxjHpA/cIghCRn0zRZwsnjOD0XEpo1ccqrQaqzfy
WOydN4juJtGReja0xFnpNxznznvFQlkFcj/P4UtaYBZtJgaVDkbM05iIV8PDRle5zn2UWAWmOQzY
Rmy/JZ7HlY6NjwGN0l05dgcv7h8UVGHK4nyXNfgsTpYXZLeAE5Kag4vFsf+jjPU+1am3tVh7QUVx
v9n1W+v3b2RydmsyQ7p1H5GJoaZ6D1rgU+yVn0cnX0AgCxgJ6vo6Rs11rZZHwTcJ2XXgySJ66Zsj
MOCXmW25J2Ri23nvFP2Dm0wh8EcC1AIU+x1B0/YlSUKE080IQIXEGjYAliqhINtIeF81Om13whFB
gH2+aisyIwZCiud+3brqM9Ewd4l01T1kdXrGKYAjuhqAIpvsa7uAfVzmiHRxrXpjNQSKm85Rm0Z3
6gb3NpX2RVnI4JkR3fsCTrkdzMlRC5cgVmyeyAgoOYCCojTorx3ZVKssRfpt9sUjCTp43kP1sa/R
YUw1JtBw7utNLMR2bkr7BP0Q0XN6LkGPL2qeu9Er74NOJ1vlRuestr4ZtH625aAO2ZAbp2byw5PL
o0dTZyYvVDoDnZ2GsqMaEH53qJEBr38zgD+C/grOtfZJ0zXMF+6klzqBW4h2bueTdEdzh+h52x9K
8KxcsdZqNpVAxWdXKNIMB55IV3yFuQarMFmXdYSZ2hLgdt+3CqAsoc1PWW0EJx3e6ganNT4RtUZV
igrJYYIRZCAHx8G75SS64f0d0MCx7uzkvdGyd9Bjih6bAK2kYCBPvSeOsjXyIyZDXPxxczHzMrgj
8CnZhj5hDfZjF5EAAVn9OhP4urKaKb0ao/FtzPVN4T7bK5P4iGmwvqmyfKHzgi4qzL6prn8um/lD
M4s7GeNlx6KjbOTPVIQL6VTCvQk4ZGeQjJv6ddSgaTpz+FBPrneyWrxpA7+PsRaubU7FOFs8O3E1
nR6CuWIQr83yUHg8H54+MGHfekNinXm0ngD6cMogSHkYJwwFEOIQz+/TyRhOKZIwPyUyGvz0xfWG
Oxf1/wmdAlzwMDkVwUhCRYTTRBt1eeqSpNsVJfdShht1nDhnhHVxlw3uDiPDV5Lw7nWvblZUiavf
Zqe6iQ5uUlov/iIPQaaTI5dOPgZBwotKjE3Knz0NYVTStGJZRzMnaOGuKiNJd6MMzTsxPU/WhLg0
vjieiTixYg0WEouSsNGLwE83zEd8eHjXcUMfxqT8HMDxSY3O2zq6WJumoNssKr33BZVHbQzmOpwi
9GXa2Xa4m6+24vxegoNyG4FcBMlIXxVvtAj7u16jbbXJUKCBtQ4WOz4iyw181ofZJf5i9tKHHhNY
OF5m/blUhEgUrr1rC3Ov8uhjaKqvpTOiZgKLQOsdLoSV3pWmnR0YKKwyY28YHQ1eI8q3Av/FnknL
Q2+I91DqUr/6LFL1MRn7L2p0UNZgydnRrB0QM0/XoQER6+XqG468b6ksH3BD4URgJnDwRyrCXgeM
94NEnayxUSdqJkbI1xr/y0oFEH5kQ74AQkRn5zOreKdG8WJBF8bKXTYERR7zEPB2mVUhluf5EXEt
DuqsPGQJYNK49x/I5M44DgQgmYBRbIU/IAJzUJA5drfWajwWPd1ZzyIfJqQQfGxsZgeWCc9y3GQp
tnJGVw+JBQ6ho326dpzorJvWPg5Gv3dbQq8bf740RYa6qgncm6Po3s63GJHs134wHjCAb4cprp41
K1ezACiF+47bur2rkdnPOZRft/d3wzcdWXorbKAOGhVJhVJY94E6KoFZxR7jS9pWfKmjvYc9dsav
dQ0orlY668m3UO6ucQoAjYb5yY+UdVNFaN7Ad2vfiA4BDMmTVWY71FSUPtP8Pp4hjDZ29hHLj/Fk
W60+RohdVmPovmjGdpsstB5pILiI0Zz8gNLEOUytD06BSByPp+TAoBa6sYJMQlzocCtwtRaFlieO
y/87HhgM2dmCUNHlDqzlcKzxoqYRqT6TSRcMxlyCqd2gIeIMCNWJiSkidYfVT75zK3XuPWhYo9yg
7hESOe9o3cYyTg9l4h05S++qPGC4wijzQJAvsqn50c1CDvI2Pcdp9/t8MsslHavKp6gql8hF+kO+
FC4kpcDyhAP5bvnzv6VnIbzywO9h0G5mkmb8DnBOnNne1idRh+kXuhKPHRHRYFRuWy416mYUAmXn
P4nJ+Ry1a18kkqEZypMsGe9+/+rEL9levnRM/gFLYod0GcH++OpAxXD2mTSvLmLfyFKidIH1hA+d
s8NcyKVsvWTnFOaWjN/p0ZIaZUPy4ljxlW3H2LXEggPRItmWBCrQLKwkpaCzXBgH4j/MlxkfD15k
9YdQMttaAvJ+uKqBb7q+8DxXmqZHG+3H1920LuifvAO9931gAoc2u8Pvjf4smNwLOq3ikcXpE1bS
8jBTYf2liYGXAx/MsEkOwj3H4NoZ6MM1086YGvc0+EF7asZ+ixope2eL7F0UTMUuQjfM0KrbsYp3
6B0L8xGLo/nYYewyWhh0M2ZtUiwgI5i1D6Qxf9+bTn/pynTAS9yKJWA93jgaJChmJWCQNnEGVQVe
IPSTC4Lv4hxV87ipcVFQKMklfru6153VPnEBbMBdJEAYCtBXmypm4RYdytwsk3MC93CNfs7BOjkk
LNkjTBqdJqyK0NoOLVguGHJ4n2rl+3y6DlS2Ghs6Zy197kvIRFliLQNeuJtV0G1BsLE2iCw4RRgC
Ic6CtOVnEKPsCmOfVrK9zm4V7+14itZxbusdevr65CgDBv/y5fsvwai/T9Ex7v7rt/K4jHf0zt7D
amAupjPaaGwS5FEt3/X9+79/qxeTyp6TG2OHc3xzly91iQVYiO4yNwoLRsXR1ALTTUZ2yXiTMRNr
gPhCgrR/j+B/VS/NxCYa/Ce6Q4R7WMDOBaefrNcTkHS+5C3cic5BmY+B7e5760tZcjpaPVKSiEbG
djTKnBK8I4okEXQVKry537+4lvuMHtne45VKt7h5KkgrtXcIWuNLm/YFPmRIH4ReVqfvv7Sz5DYx
jvFbcySwuXjstFMf6NXSRzXuZk0u1izFtQ+QgkIQ+2BRCx6nWEJst1RKogGY/bGd3AfRKKQbPkkP
YCfCy/cvZZ0DqfBasKZ2bFwKs6ImNjXJMdRZD82g5HMCUDEw0vlpLkuBoHAWm4hayooj72MUiAHf
FggUGZHRI0ZGTboe1m5Cck1Ox5sZJwr/ic8imO17oa6ZH/g3LSr7vp3uvMw2dk6ng5M/IigYGg24
VrojR2pHnkijgfKumulyP3JXXvAoN6icnQh+QNvoHSOQsFvNXmJfNOcyYxmWYvXKT991mGy2dGDm
82hE5R2BYjXjw+YN6ChZpl6h8WSotagH6zTKoGJ2MhmPdEsYi9INXdOiTGlUE6dQ1ta4zpbnRC9P
R7kNIjc/kORXvfSqzFYR4y3ZFOrRBisIJ2MmSmEBCTBRCi4OBojtwHJOolYNGZ+MMcC65gffAnxh
9wJ7Fhzr+zzCLVCVlbeJ3eUMk+TQ+loPIdtctGvPG5uTwG67InmhLVroso2PkTpFX8E4NjlNfvS1
ZYdAnTJd5tlGyQurXoiaoAy3Omo/bY4iUJTmdL8OxpS0d0nY4iWtUJKFdcDEZPm9lPWG/DKsJ03r
c1ShhEYB6tc1n6shz54R3BE0l/FqVXxBQ/EldLKRYfaVosG+hLaDfDUvX5nDO2cvHCJoRw2GwKwt
to2NJXLi7BkuibBS2RxPzLLdJqRw7ceiRIBhWG+oKaYP8YJLD6rChi04MMCBEdw6I1Zj1OAFUip0
nn4Qf8O1Kw7MLdWxgCK5GVhu1u1kwPQcTHWfyjk6YJk9e3nQ3mTSOBSrKnvuYh4RQ58qu8gviAvT
Xd/65p3h0ebwmyA/SQ8Vr10NV4kLHEuqJNSlSiHbTKfMT9PXbgE4T1nnEWNg0dVA74AdHS2HCLvP
331ABL7Oq9R4IW5ghFF18idEQfBjne49at8zDbfgEBSjt09M/a2P++Ihycf6rrRMb6Wl7O5QMNrb
Scvk4gzZdOhF/1r1dD76AbPw6I2bAmPmFLrtS1t+SGwku5HkjNEMeUV9AgEz7++00y3TFaPaY9fo
b74bnMLYuiZEqNzC0DaOU+k3BIrEKzOU1A5Qs+6opZjIzZw6rKE08L81/a6ouuWCLqNKiTHNIEyB
/r/7VcEWuqQD1CgdRcOpWb7YdNDWXS+cLTQTdlCvtg4M24p3M3Tug8eBg2wgSkUZgmbKBYwh0JjH
hHyMjUG74LPRH0DslGd6NfW+cMJ5HU2olejxo7QuiqvNVXgphhCgaRiOJwa14q/E3yV2+79SStv/
/Hd+/aVSU5PQOPzpl//5/1F2t2USYvvfh3cDJ/6kk7fy79Hd37/lr+xuK/iXLdwAO0Ng2Q7VGz9s
eGv1f/ybJf9l+75JF9oLqI9sN/i/0d22+y9H+q4EvuG7ANiWMhXp3pLqbYt/Sd+jocAU2fID25H/
o+jun+tdi9hpgSXDd21ihVzxU1psTyNw7heUsc3ygVkKGplfQYhYGM1INvp1QGf/WNbCJTgEG3/m
D+o0h312gI39IVB0TRsRqwP634cqDqw/lI7Wj3nBnrAcKQOyu00vEDZ2T67R3+tx5swIXgxO+UMn
nHWlcdmM8dUy03lJgDhWXY76G9IbcN7x8zx3JN8ZFlnCWXIZQtqKPu4ltsfsY97WeyCDioK5/0Oo
8S+HhuVFuoSp8wJd08UR9eOL7BFdRr3ZGauQmFkH9e7cqmmVmtGXDMXImpSQcIsiuiONqow43Mef
c8GEStbH3g0GvCbisIzfenf9txvxH9KALXO5PH8vvHlltuW4HG+5+SBn/lR4h8IxZ7N0I0glEd7t
qqCjGsPRSGYDh5A0g/JY2cZz20XPMX3IveGO8VbbKbBqj2YSe/qRoQnlX5t9/Z7IHWXhHdFEAFGR
eVMkNxvfC1s0CIiFzM7Bj5DQkpDkcdJftUDuYo9aKdtqDhVOgo0wcN+0HUyapHXMh3HzNo8gjvKk
nTFZdYScyDI6tgZeMtPz2qtr9ojr2LCZHyCXHPFqg97cFdC36SEa9zwoWOAJITo4nVLgI5bIIqPc
l5MH0qCZQ8bx0Nuln5xDZ7TO3GOHiFWeSonUJPILgRVnLSTUiAStblTixgynpuMAUJn+ksQBtKqt
Sm+ztjuEUJDOaDAWOW11Kjym2nFvNHeKv3pCbIF5XHB8Hpi9tkuVZtXdtNP0enJDiovb640XNum5
CdJix4bSk6auGraP5hRk5nsLMcHGgJW1iTUjMotC+Fi6EzGuAxW+k2GFDPz0JHz1uStwMVj29OZD
StznREMwcU+6zVTrbZRbJXiV6pItAmOvy53dH26qnw+hyz0lXE5yjjR94Yrlkf37EXns0rhwTc4U
3RpODtRVR9v7zvYIwGrmfYieg4uQkwddjQkO3fErdBLaSpQUH37/UuQ/vZSA/h2sbA+Zj/lTdLzP
kbOA0Eii9KyPJsswMoeAXn+3o6tjnXNPknE7yh1dYPB2cfjeSEp7MwSovy2aCEhH2dyg6tq4bon2
napXv/dAduetu7M675sxiGgb9ZgwJ9VuCyqUesaWM9CKGXDkbM2ppnszxP3GSeUTanexh9ly/v27
/OX0zAV3zMAM2A4E/7N/uuAskI3ZjEi1SODLr11X1GfjcXBnsLGEWGwjjgLo1/WZ3ihlTE0ik8jh
pXScLHXrr/7wapbF7KclxbFMS7BfOabLTfDjx4/ubbQJPEAoWn+2LOsrTV0J0zu/sY7nm4jcbAxU
kIYM/M7EBgHcNI0wISYN6pZ6bmv4/Cou500HaoDF4w8vjwXsH16fFzjSYklm5fN/3jGquPMzQ1HI
Di9u1ci97KQPT2q+eiOAyzmV51ThFESsffCWrApLyXAzYxOideep19RyvnRh0d5sGILTZJgn3eXJ
YUZ3eePeXrdtR35MkYfrsRqq9zwfX7rGaE8KIM/YY3EzwjZcZ61zH7d9t16IVpFxZnpSvX5lvsXC
RjLAnDvRe4CUDw5/nFVV/sH34odE0LtuBpRhpEh+m/wM8EUnd4ZQE563g9PMqJ7i3KKGhhAE+q/V
9Gxp81mkb4+rELZKVBvhqU47UP+zeuUsHGyRsQR75K4++zvEQzX2n60Rv2Q+P/FPZadqqnP0gOTk
jYnjrHLcB6t0UvHJNmfQ+pGPGEq7yK0icTXBEuGcdO/Tvv+SWmV04n5zthVLPfbXgcLBGcEcyQSI
g2jPfle/81QDlJyZT+QFB9UUV7OMvYNwbR/QyQg3IupPtExewDchRWljQiaiBvmkd2/rFP8g2olt
qhzz/SASrBh4IRUoC8hEQjxnlB0bTwbrzCWPgilGyxHIw88rJ3QC1QjnNWnMTZjT0M1qgn7qIXzF
87xx+mZPD4VmQFBtpRUcB6IPt9pT+jiNw1EbT4Zy+ptu5s94kDTU/wCAVWnBe0kO2Ei/+N1gPLte
ivPDYpFDbzdwMyF+7UamH+rw3QvAKvgMXuTmmxrjQmhfM6X5d4XNyUvzrqLe3SuPjbhoTWy3syr3
GbqFedukMtyytgb0PUP3yC64Ceb0k80IdNXArNkMHZKuhGwy9he02EP8lcyL9nms5GNFGQBklxiv
0VxmRkU93tMuDE/B+PDdWODXzott9S+R05LMyE8UjfeWh2Z7jMCWMOxr9ZX09vsRIzcBVHMF02Dm
ktYsJwJjFG+ddKphBEKWGVxXeslrC3n7yjSHNwlKPs4MUCgSbo2YzYuE5EpBEJ94LgFR08xjdcIl
GIEF8YZvkSm2BbEie4aYxQpv0JusIYeF3sz+ONKEjnr62bSIVmiRF2fGOk+JzqMyTQlMP9m4wDbg
WqZNYIklyI2hK2LcYpMZkCG92kAcPKMQnqOmeYp5w1xa6/H7CbKMYheAgImNW04koIQeLpf6G3j0
Y4NWDZ9w/2gFjGQNiL2Z0Y33fRlCm0pzfUQ5Td/CTfo3x75zQlpdxag//WGl/Yfa12UFtYUUFJbI
e39caZkwWFD/WMmGlsDWakRJM8Sjs2Kawuk/6TeNAm8kQwJJyTCsmP0rRJxUTOhH74lJJhbFH/aN
lWo0mDjlTfkRZG//hxXX+odNmAA8AJScH0zqreXP/1YPEH9AuLtAsYEAZR308JAW2yrn+eReLBI0
l8vfeO67LNXhJpkAckcJqWo+ab9/HSx/OFf+r7Ir7quk1O1//JtY9vuf9ibOMRJ2QMBZ5pfSxKET
kgwSUbcuugCjgVusI9HHlNrA5XB8ufJqscnefFz3RzOcoKWoZ2Ez+Swi8W7WFSVXo98qOpVrBoDd
q19QJeSJ3TMVCZ7SQU3H33/I36ulX16ybQkPaBk7qvfT1aNNaGmdkLhbFE13TDoQ0PO8pOV2Xbsr
ZEVKjl0fwsl0d30QfdKGOhc1tYhdBlAeq08Is1B+yrY/FKZ3+34gQ9MCRUy6gvKUDpCBIoSpKJiv
1mg2XI5nqLnFuvfLq7aB5lM6/r98Dq65vCeHOYrv/lSx0LRz5sT2iZ0ygb0BLR/BGIprGqLFDQav
3Y0m5wzcKgZt3bjd5nhlaAC+qbYkqp6ay+Bnr8qh9fZdIjuY2fWnqM+wQISW3IXLhMx2u8+//yj+
6UamrJUuKwVtfP778UbGT9m0Yy05LKkBcVkVikMw6atdX2rhTdBykA1kTkb+wEKotGJ55MnHvOhH
+f3vX4r3D0UMR17TpG3gUPJZP50ox7w0Ji/vojWePZMOXYPGxt/3/YQ7Fv4T8WgcctE/qPPgI0aH
hq/ukwZgOOddiRbJ2ZRBrp/M1v/CtqnfJcH4MueAskvRpE+xUz+2jkKvMYT7KmGNcATjSI2mU6vq
kCbhvPU9uv6gl5LVUGfnqtDTOsqCQ9VZS9CnnR9K7lm4evrTGEeoterIviuh9x0Hf/6WZxFCaEDP
LgmSAD1HdGsQ790cO0Gg71tyoIkMNYD2VxgqupGsEtU1p2jmbw52v5C/CrGLdX6p5vwvX1tUqC9D
zZreQtl8aMdLVpt0XwO6jQS9H3M5vmtovlzGAFMWE4JPSjCD+f3HIp1f1xfftxwOQBz3mcD9dIcU
g6ok6ZWEoywbqmRq3Y1We4buDFiudqctC/YlUlBbAJk1LCHDN3teQolaGrGCoMXIwGXaOdV5kIJQ
AnhUBRDiLelbwmWPDe1Xrxtv5HBy4nTR3WtJO9ofNHd+QV2gYSGh6psUYvvzrBZTnPY2fabKa5dB
6KDn94dHWS6bzE/rkx/A8xSIiW2fO/LHhyIkqxtKCoxBr/dJBU1tNGKIKbBgPSAstG/xSJC87tHx
9YHpbUebPmMVu9k1o7Kt2JZWjIbL7Sgsck8FlWL/MYKq/pTF4wFSCamXlbwzCmRidMlpuE5FdUpH
AIMTMFJk/9W8pm1jbwenjI8tcAxwAOaLAQT6tR7etxHd999/yM6vBxxbgjzwPVZIOir2TweIwFNG
llaDsZqNeGD6JVs4Cs3jnJgn2avkvineSl/1xxTMy8qfl8wOSpGjbUzgViASNB3gUisO7mNgYOfE
EO4GAwmM/kTG5yBO3hkRvZi8n8PT0LruOpyd8X7qKW68KULehLBm7+TIZhZjHc5QfFDM9xlGBNZV
9NSFw+zt20SSK+9q5hOqsW7aRrs3+FiXiu65akV4WsIbm+QJLS3Z5XAwB0Qcm5K+01YzTgwtsYzS
yQqeTf9oNPklMHPnkqF4decyOGSxIIzQ680/nWWX7ezH28mWnNNtOpfs1Nb3i/+3YgFpcZbXyYgW
ADPgJrGoFCPlQ3txXBRjnB0Ng7Y8tX3GptZHawPkGe8Ye+rErf/7T9pajqq/vBjBh0wnA/OXu9z7
f3sxOCzovtd80lMFyLL2452HVhbnQ7LGeEkLoMWeKARtfs7aCv5kTLm4zyEHE27xh06n+HVt4cpw
0/msMMj7fp7td8bc6xxGL0EcdbCfWvC2JU/aLl/WgTKG/reQUuM8brYI0HCn9/ZK9dhZHFzaT6a1
HKWMEEsEgrxi5OwPVB7keWoVKFIJHVa1uYA0209lG0bQNqF8GCkm7IzT4e+vq/iHJ2jpTdOU8ZYP
+vtG+7frGpghrMsOsm/AfA6Av2Y6folcIjNokt87i9XKIZBdm8XBjU0sJpZ3SZe+VeWyNxDJW6X6
gONJbwMCMUmjcoxTHcchAdvkN8tWvO9Zhgxdih2KWs6bRoPCzZevMjr84a380h937KVDjh0qsLlH
llHA328RYY9W1sMa4FgM6nYyg2HHgMo55zJ7Ze/PQOzdmqh+H6hBgOfUm6jr+neDW9LhpIh07NI4
22H8vmya4KQsA70teG48AjZ0B0zDmY6che1N6mxpbmRQDrfMQyilw9j7w1L+D/UNO5bLYYISOaCT
9FOvP27dsmw736Apu/hkjfE5muiP1J0PXaHAzjQlVMThjGcx507fl556HFVowPWnKPr9hf11W/GR
IZiCwYMTOLTOf7yuCFHzKVBw2OjVrOug3TkkZf3+n7B+3a49iaCHk8Cy4shfZCeg4rKKGSIJBbOJ
4pLBoz4g7x0vdYKD0KpBSna4Xs+yIpE+6dwKXlP/1ezRiSY5Mm+oZ9+CvsajLqMQfYFiCiqIBbaX
ZJi4VEAVpbUPBlilK7S/+hLtme32F3cav6qEXVpHsCEaRijL1iySHcGcX5IxBRg8KZb2YfHPKABd
ZT4EZzMiUM5wVb83NRVEkrI6w8vv3k9Tu3FZv06if2rDDCbnqKEIlO1A7ov8OCBR3Vmw0hmez+s0
yD/BnM5XQcMLSGwSAUh3GghswtPVWkcXmr823fcIEueVKtQJWGV8qutwgxq0O0718FnWpnUo83vJ
QWNjO6mNX0hvYYwlu6Qpwq3T0FEfC3I2MQqeZfwuJnzlNaeNBFFcvG9RgW7iEE1y4mixqNQeYakG
EOKiqy4LaMCxzkAHieI+D+aHurGvnFWjS9lM16nkUNhpNNY4A9Yh0A46YDS6ABRee9RrCElsUrkz
6q2qz6wjYqb4MXIxj7Tq2CfnXgXJXV+wl2AdfgJnQvTimN56ukBHkgOMq0f0L140UpS++z+TBEqE
kXA9SXUPvZ2ToybgoXAPxlxeKYiss7dg2QZ86+7CPogNZZ4FyVYrGyv4ZsAqfJILDq8hVSnybWM/
Cod5rTEUX/5wO1u/DHO4neHYmRafNScD/6e1aOzHEjJahNndtT9JgoJu9tx/aDxPHqlkwGt80W4y
nXpAqoSXmMl6QV1f8qkFUp3NfFzpMlYxqTtIwpqWbudEWAGT7jbK8u1ctRdKZiK66EacuGHa9aB9
FzZe+aXFtmrhIfV1b6ztFO32oBpvTyfkLs5Ui5wqPRNVFRg9GCNAFKn50dJFfPQAgcNWRg/tJeZB
jM3dX/w/8Ej7vjqVwrEuQuprOa271CYpwamiU1y8sRkQ6ueO+EEHImZ2sXKsW1gfPT8OT/aQdYDO
wnJXQxRGpGiIW5rW8oY71ObQcJc2ODoTZJhQK5vqbhbqc1Q6d+NsE0pmjDVR3jWshfmT2aJXj+x0
laY5j7aTRCCpYda29ryqhzrZKZRT+G3p+UbH1CGirxwd+rW0hHTmb1reYdh7YifaHm9jjSo0pxmy
yTBYHxKLFL2humapmFZzkyFBVR16FyRqkwYRQ7sJQnBjkxyhkEU5rtPfDcp7tPyKWZUcy11hOtCN
iVp1FrAQHrXwOFBcxzU8T+ULoJAcyWhEn3O80RyKo5wwmaj8Q4NC+tYvXRVPLis001cZcArwf1qr
PTyk8GG5n1TdhZi6jnBcNk1lvbS4RXbdIoudpy8xxpmNb6qRMi6CsY2KFsy4954pGK6dJZbeD7Be
DxFw4KHeyTn+jNMSMFRiffFIRCDtKfpUhcSYRop7vMJdmiIR2qLlEmyaxibA+Qd9vr63svDJid2v
5RLTFkbPqmTGOHf3bGR7I8gf2qEfSdWF5dLMYLhk/OIiUVgDFWYQfMT3xtzHsXbQJqE5WaNewV3Z
GxOfQjRCqppskvngfu/GwfhKfp1JWB6LhksfbomvJnOcgjEFtG237SEnSZ3Mox71mus8CDxsYTId
/LZ4Gryyw4jJi9cufAewSutieFeFwRsudLECSrLwLWiUpa7zxQNLOmkXgTlsLeIDkBXL2iOPQ36W
atNxVwJc5/JwiKprzpCUdSBBWqbwqnoai34L1wHfsBcuwj0igvAyfFLgubZdC3nTiPXZf5fQONuV
Dg3Abs4e0wEhtJrBu4Nk3KgMdRwkFqb5AxBZab+2hJa0FpxEh+uoLTluRqIfYYmbH6ccM30EGtGs
4azUzlPDzQEzfTr7aISgpMZbGlp0SsGOE7RLrKwDIazPnX03eXe1l56SMhIAHjOy29LoI13eC4YB
MEyAUmzFxaGbEKwImDlT2eEuoUTsSe5lNgqVhZHzUCKGxw0pN5YyPrACvU4FOFDEivZaw96qcEMS
60feA2acTeq6N45EGOqqboszklAGI79LkzzbZImE1mjEKLiNT5Rx0HTFpkMruXYDfoQD30sbEEMC
jwFm38bgioDGlt0Rg77L7tn5W/A9r1HvPc0qIxgv+Qx99R5ei2RRTd6y4JvdZg/cJK8BISKr0Np9
zwpKC5TM2pPPYTskSKkLElSj+uvQBv2qZblzcWDiiUQP78I+MfIXXBuHtKjcFTa1fFtWBH137r2v
009WalzrgbfaBVy42ejf3LQ/INkkXDHid6z8KtOgWjOIA/EhSRBIouzb0FRcYLt8hurUetFVpPxp
N9X+OiBjEcNZdIv+D0nntRyrkgXRLyICX/DaNG3U8l56IWSOoPAUruDrZ3HnZSbunTM6khrK5M5c
aeVfpDeeZFItezFpeHN87A4JmIjf/BR54kFLQoZkWFuqnnlfCk1wS3NetDyQPswnf22iLIEmnjDY
tBrRKByJmboyq8kvGYGiyFSf2VoTUuDaBdzsvnA8GBYwY/zgUpgdIcmUXKJB9AnuPJ3eq3uC/NYQ
7aRjD98vzVn+5iIEOiZm73t1+DpMCfZySwpWIT0e7d3KmrgHhFni/MWSXicfa4cNwlzhjnc1fcMK
qn3ZyE9tMaNY5PN/ryufYBZ3Ioho8MK34XvXdM8jnwXbqyynvxBH5CgUv/EhYMgiXM4HyaPdDc+8
PLc8hGks+hZ1wx0PRkq5AHAVm5mouku74atFzN8r/Q9rAfKYxWkNU8bPOiPhME4ifzUEv55TUyPs
ZyJOA764U41EfkzcYSxEyis+jE7zsVSPPjp21FF4aPBSbv3JHie1KMMwsCsevGXEO1/TWpqZf0Vr
AFSS5UeV8ddSeYX7GVhVWFhUD4ZQWYocAmTx4Ji0YeH1hWoZzBgv13/U7qR7fUJg2LqBG4otXH6Y
RH/ZPb9FEO5vwie4XqkvspRUITikNvqvsQ/AoGJI9tT0S07B49lebmtWq7JBy6UOO8EjMB6Dyf3n
UWvoGcBIy4oFMy2ezNa6EnX2FFIB0QUOjImeVT7QFJDQ+xpxDvs1c/1Yif61hmcyBbAxupUzLZOe
a9uU113NT2sKfuv5Svd3QiaktyDutA5NWqLh8BsYD3YrTsvMclstVJbctA0pLN8EhN2tkQ++dmss
5xHPJd0PKH4QYAM+Up99qKjLaA0OyNoWuDeiYDWvKwOZIUqGfYOhD1sPK/yBWiqPUSTJADHy8ZLV
OrpFStvLvbG5o3OjFvtyLZ/a3oA+WE0gZxJwb94dRe5QBM3MxXNVf2f5Uu9s5h57OhJiiCY/baFO
zOuYUU/EO9aRh83Ku3sjUH+KknuKz6rYwvsKcvSKRmrAUQtPai7mp6QYnhULPl0iLZdT7K0lDL3I
b5wfGYoLFpyDJqYSwfgoabh9a8cw3IkStTMbDZplh3oXLM4TLuV3HELOHtAEg9FuvrTwWVCVDkuY
Q/DJeGYUHPQ0SMmEtw4lVxOqUqDD2IFJZqekYWZ+vEyk/g6w/r6Y+LDSLiVD5b4Zqk/2yi5+K02v
hilZTLEqzuaEr8TG1TBuXsj//oO/y+5LhwY4jiibRm+HjOksngE+pWdO0j+USQHV5MAcpdYSa6bN
O07pP1NLSxZ5wWsCbuSuDDT+lgIHjZVmh452Dgf6SVzDxKXfhH9wrK9mMwHVwcM0cHX3DNaC0uRD
rWnCsarxel7Vxt1jGJhB7jQ/lGlQvyN6JpmT91GMMCkAi+2FoAzDVe2b54l3a8FQwvg8QcUIwDDD
F8zHr4YATKQJguxAs817tq6oG7CRrpheCxPSpRESzafs/s6zO55ni6BaEOxrRQsgDbDrDurB49Zs
mMg3oBF7N3kNKvNTaR5GK81mvoj9kfB2B0tP/idov1yP0UuD935ijD2F/TuF09bOXKyr0tUtgLeK
MDarajvgERg7522ols+QJN6+WtL3WaXPC3ZpAr1kgkdebDOhDy2vNB+Xag5krNrThoHbGTndtgpk
3IpVNeYuQcSpOiX1gmcIesG4/tGhl0DdWHc2zU2VD/4+93M36ny8WKvdXWBr0Yji4d/q5XhntJBE
c41eyHEIXZ63O1+BGiwcERYn/FVt90GfxQCY9J5ME+0za8bl2UvvcgjMhFEDNx7KR9jaScxV4rc0
aQ9hjAwmu2KX66qLmHrvyIHvqRgd7AXqa53ZJ8uyeTdcxbPRmzDoZPDSDtiCeP0wb8xfwZyRvgbz
dnBQ92kupxa53Ev/bpTpUz8MUdEsFdWocwaijGIWLFcQbznDNX7+RCZsoePuXwvb63YKs197ua42
2CadakfTZjXjEXjDRc/aRuNDbvAIF327tzJT7RNhHSse0qgvaVdZKgRBnlNphW+QFil5mmDsLHyG
XGdftbXc1GX4NYYFWO5qq/XbuOphq84DrOFdZ5dfsLVjw+InnioSrwUSF3qYx4PDJgEiBGgD3xtX
9DbJtxg5HSOUMu2EeWB+lUQZzNWdpaF1SUJjgO3BPK2Kpu0cdnlffgiHPTRYjOea1FLWkfKTnCrB
2Ip031UUIKTtL5EyxlFO8WhNto7D9cftuj+nkeaBvDfUha0o2asB0sxpccxG4C4m3Ja17kknghiP
OCv6SwuYgH4/GhI5v7QiPVNtpA41As5BSFY0FnQ8sGQQnMb9rBAcgaK6uO3opk6kkhER1qiq0zGy
lhAFwHoouha8My5Gmgi8q96BU5HOFGm2zXSc3Mo8ezvah7qTI7IX28yOaeHQquB77aHXfxZkIe45
BPkwUuy5NA5xNX+27UgH3sKN0lgwhU/YWhm50744/XSAle66tqN6G0Q80jxitCYF3Pl0OgxM2LtM
nWrgExcCCVfzGMw3i/5mOpYe3NrGE6HCg2XZ+cnQYh8mojl7BWQ3bqk7gmsISR2GBt9V78lKMJyx
LX0z63KyVif7//QisR8Ww3kLfW5zSQkhCHnq1srN183O71tUYo7pipAjhsgMaDPNqytTIUbYPHSy
pCLNlsVP1fHQkxGBOmrp3Wj+zIlo48Wp3YPdeM+1lr9DnlHrRaLehRLjyf661T4n9v+iYH59nNf2
l5vQHURNGqa2kh/8MxwR1fDOHwQ/WdC9NpbPSZmaux6LT+R3PBENVp8l6d51Rfs0CdsHP80ALiuD
7lzRkqzogabwUQuohIUIn+BRzQQRWSA6/5KBfNiNc895ZLmQ7kZJ3PgLVLX0XOgHxtMAVHbcoTnE
s4rC0vrFbgbrm1Ml5HxCSaOdFfHkQ2WoedmfKZ9WEY1jnxrgeSQHMOhDbHk2LOnViptudAFdVuwR
k3+mGmvar1468ZbQHdvNy6mlKI1Z7dcUwgEp6upTmQUnou0Kl2l9lENlRintb5Vn/eUZamYJdw2V
i+V2Ws6IWofEIt7RTN1fP5ADLcwCqrw6mTxvVglcMgz4RVbVW032CgfccKDqlV0uWWi16M5Dh7c2
mUhChu17qTKbKyAJbvwE9ymG9gMvSHWga+RzoMaa+yQHl9WyvkeBRCUWGNWggIq9i7GILGL2tlr6
FzoRrHdKl9RoMUjsNgMVi1FaA4RDg/k3pMsQ6Sk4VesKGKLKP7oiP/leQUZ1fCKf9Kg9ZyNLJuBb
CZGjauHQNLVxnRMAWgooLanCW0dBywuXSR8+bIPvAkMIAT/T1vCzJPfpZrgRtUWzgkhu1Ew138j+
WwB+5kK2n5wt/6831tg4MOreWYv3p8SqdllLSac3O5fCW2iVtQLvOLX6uEyzOklmSWQWH4CTsiWR
yyDZzdggwf7QERPjnGkQCr8p19yMJiusryo7dV+Brv4bebR2vlATGyigJrzHUJzcACJuPyNErcDK
AQocWwZVJ1xpgtu4vev0wtjZKRmtBbdGa4V0uk+7WlUmyvEbHj8+bcrGbj0LFMb6n1zRNLfUnHp6
hAiysJdm1KUfMzylRg5dcrHoBkHF3jv2DETbMF6YuOI/tcNnjPg6SrzlOy/6+7RfX+0pL48D4xmI
AQzrEjgmUIDFreD4hcQN93pagBK4XnIzVjZ7e9AnDMpDVgTojb2551gOyJP/cdW7slbHyfEfjZnT
rczvmN41gIt6mH3LcBs+W/hOGQwyAEUIJ6TZ9QcQry9pA4I8dWi3WdZoKgdB6TwyZ8ZL27XYfjPM
ZRRvDHs6ynHeywprw/pUMT3bL9byVZSse2ZKcWEWFlHZVd85Oal9hq/BsFAjjQnQiatpg8/lY9fy
lQm05vRbHXMQ9scsnK61k/+NbkZzZEdOThjDnlIj8vtuezN3XMTdxVA7Dkjp5nMAlJvvYb7+rACA
OQ571U6RLrs44msSvbwqjOSz5/Z5hpYDQoNVVjcd6qsaH9gwP5NNkii8BtZrRSyM9fuIbPk81MF3
W3+tPYflOlw/5zZ54GQ/7OYhvVLMuQ6jfIZkdPRlM++cdcJLWPpsXxy1AnTi5Kt2uovrFRDuwMFG
aqRrdRiPbi1RJAVMZWBvXKpeahPyjVs3+M9AkXKpTG05bf+ts+EuE6EEIMGN1LEvQhI3Sz1mMSIn
ejxYDwhnr36qw4jHBHdEJq5YIPHUpqiB1H9gmfilmQSUiYbgVOOOWKV/21Jp47bVVu73DRkmHob0
l+DY3nSHBxcYGv75uM24Xg1dNPv9Vqy6m7L5syGkEvHPC1oB3FkJ+WpiQyzce8dYH9A8gUc0YJDm
YDnadXKGu3enK3HfWmAtKisomVE20JWkQoaJsIFtx+z9WvNRrzoOUhHAG86B6bUAvXJoqaKCzNnx
dGf3g3Yv1Ty5N0zmblZuF1Ehi3MbFsVVagTMlVPS2WIrVN17VDUeHTO5rUNj3fd0aARO8mBmjb3j
PFTyfR7zcVt1+jtl1tOJXdLJn0Sg3+o8PwcuaNUyfef5Kp2DXi1u8R3pgq7vXmpLb04wWh9Hr/wN
wu5XepKn12LNDzMN04Z6rKLvaYUMxCNr2HdXzrtJP4MwLdlVTYTfSXFqr8ffvJwp0hEnqrU+Uars
W9ctvpNi+ka/Nk8hjSTgCSkPLWsSkiaV8Zbm7u8pjo9tYnZU8tKQHPKrX6uPjTOzAHEKVmo+cfMe
bHf6tBUor2lN20uj6X4vOW5OpNmu6LFbD5OzJTfMP7X9aXMY/3XjVifYOXykoKU6swVtzPmW7eRz
LDtx440Lp1NHCUw30GuGSl9Xk7Eh0+a9I3BSGwNI9Mru/Shv8lfPX8+iqlawRLy7Boc2GBzFEQvk
ePFUcG6KN6NIZewlcDDLYQ8asz+Mbfdlm4oW8DWwD53voHjTwByC0KLfk5eyZW+zuzyy5bXVoYNp
fwQSQWe6IOLELF+YmHRvuWllO6kV2Era4/aQBubYkXURJWOpiTBPVLZq+2Ei+nLJm5ICQc125iSe
c6rSpdjpfDwVCsU4z8I6IhZuoF8BucOBxTUqHG7spWRbzTjrUidNx5WB91jQsdCaT+jgnbHZUVQv
Hwm97l1fvLjwp80syuZgin0hfEaidrOXrTiP3jwcU1Qwo6qDa2/oryWwsbViMciWGTtuPnFhAe5J
a2opYxPnUyQZNanqMwQtxjdhsKcGALiF8SGICe3TNP/mlG1eebPSFXd6cwDTzJtmeRalTN0tUVb4
SmauruBhOrsVE1gOeZTtHKm8690bfuiAXmZDXNl296v9vIT2VeEmwzsDtwvAVJHBe/LbESqMZ397
5epG/Y6peXUMbfORreJ6XRg+Oke3C/wHQr8PMsNfACqEq4K76Xx7TAI1Sgez1aFdr5QVHnMZLo+h
256FxUrs6KWKOwulbMFTHS+F5HKXGGSwkavz9A76UHkwTA9MuCrRIesm/3RrD6CLKF8KhRlzKPp3
I0qMqto5ACWjzd2598KDDLwbWeM61OJn9AFjhFVFNDb/Br//qAd3jDd5ik1EXTsbHB8GrgW0WOn0
YrNzyMFt/g0T8eUuLsrpE686ieGFiR2jRocAOXVOntLRiBPQ+LTT5tcQa8/8pE1j1GsXhbZXp6AA
wQqiOhqB18fZEPc29Rir9Mh50PdeIXU2mcusBI70JGg998EClG13tXIaYQJSAQMI1JUzTNsvGYXM
a/Rt6Vn/6L37CCUnNbDRULjM5YT0/ip5eG5tiNht6X+yQfj7JFR3lcNWoXpeMR90Fey4nBYFCC9m
KlC+oHzHBvaJrKNUaln9V1lONzZNQrGa3DpW3Y3ss2OCZc1qCtYCH+FkpEqxTl9K0tYblUUkPvNw
0e8oDHu0fY8TBJ5G9GJJPAwArznfBXmyspjWoBZy8+SmOPdr/KM7JYyHduqbaOr5G4Il+2kWRWlf
ZxwDkwFG3WN2Bbaf48emrN4Y4VA5mEBMI/9KTRRu2kBOvAb3Jb03sezdOR5m8w1swHLwq+C7J5PD
WYabPuW6Df2ypBI4YP1jYvsM+MGmtzxkZyr6uBcuAZLlo1skh72CXRbuINpO0ZFZosKpN7fqTYFe
W14SFT55w3Q9BFeUiXME5u+2jUpzkIesY7oYSi0qympcYaN4WdOUZ4J27K546fzhqSk24wh4dv4U
3uV5lsD9NxA/EzxGoaH7meabj20WB97TK0Vs+nWZqLYLcG5iiVHdQAILvpKFN2mXDuZp3soDzZEO
PK/FwN1O3Jcl3cJcjCS2SI6cu8bN0avxB/UuvemZY5T71jZeFg7taVh7hKOaksJbmJhmy75WrG3s
auQSVm+bL0ht0lJ1KLnsatPszzGu16PFIkNWhEmoOiwBMRdtpnvLZxbmbU5wZ8ivYI+k+3wzAlEy
dQnL+pD0qY7HeRqYv1JLkc3JGV38DjrejenY77Ie20tmpHrXeuLRUN192bsTph9RMpXJzUM+r2xt
ojoQqacLw/fPk3WTp6zKVrqQpmDHXGR5Q1HaW6UWVPv50zPC/FpSGGwudHx2LtOcfDa/FbIgKJcg
R5wU9tWYjVcscV9purGcpXdtiRkMOrMKOjmqqNb6M3Cn+7FbvpJadkTeiK7S37zzK5emmpqjnA9r
pqHvZBrDN22yATjO59gboAzC0rwwpT/5VeqdGtycgMpP5ITDq2UIfgB8PtvBTcW/97muygb5BHLJ
IbPbs5zgUDXiXM95R+WvcxkA/HErP1rMnEgRoDGjGh0Yxmaxm5iPaOxxOobP63pyV06etQ4uvr8A
WJ3X53DurodKGCTwpccuXaMgy3/eYDWRV/nfXe4LjqzrbZGkH1oBb+NGQ7qEVxabH4B3J/jrsopB
sMt3x/AO3cxmOwkKwvROSWeRyvyHxM8OgE7mA0IXEwYi2xiHci7gC9W4kkgK0vUeLAK8vHlmo+7H
o0X0DatgCIm+zaFieuNrSN/goygN6o6Wc69M7xZZlLQ+Go3nrW92UC6cCH2i++zP/cLpGY/WlTR0
E4dt+dI2hTgWpQXIvbMuE+qs0fTcu9fm16U6VzYtMZeMuUyhP1fT+Q6rkWMjuQ+yah9ZqWlEQnba
1bi8/TH3mHm1X5RxMsZIW4qT3XNFJIcR2sluuU26qc8co56fi8C4pkAVRFPwXIcMjYMBFriL9kDw
lmc65BhEYguQeJdd836x5OQM8XVgFwcdOi+GIaKk8T/xSCBCTAVdW1xVSh4WfjFRqTg0Wc2/wK5e
yWMNbFqNcx6K8Z7Nk6FyxjSdEqlbf2yxUpO+A4RKiBg+1+ixLATjuamKkQZEJFXYFEDgYYl4kLJl
8xfg8ThmygOGsIw/PvCX66QhEEEuHBMzwORx4s65vuhigCWVxk7AgNstXTNyQI/WYXAYXBSGYGoe
R0w2kTs4d2M7fIIvu8cDg9/PXNHcFs0ojGuyyoJfmI6DJT5LgeKb1qBTmv6X8RjTXPzslnLeQ7Md
d8iPf3jwr8OukCfOQCiPNjlJzw76XV+ehXa8uN3SlCA7Ip+MajS5LaUNC1oA41Y24u5AduIlLUAG
sYHcZGlVHgj9se8V/j0HLgo1eHOHwJ6OOG750AfmgMNCYrfedFtB5gRZj+1HBnCvpzI9MTojKpi5
+TMubpydw11KOxDU8C2Y4j/UIPL2OZNKOunWBfbQ/JJzYJAueb1V1u+t6xhXoLx11NooX4riHA7R
u3VKkGg0YlRfdXFpte65JFElGPtHKPgAbqpDMDm/MjdsnjYb3mfyJJn5XWuItmuzbXWZ3geGhJq4
tXStjvEo+/BkBVeSrZ84R7ErMmaO3PxOQeV9wFX4Ix4GWRgzcYC2RPXr6jELcoJP3PRw3zriZ+Sn
kbM++H+T71bGXw9jbSez+hTqFR4oiETLO4ophf1bSpSMhHS7yz20S6rY0RyrFzgg6Iz869p/4a07
jiZgRwZg9nHSxcFx3vusfzZHhOgckgO4SMZGFX1SFLrlGOT/6qbTH2pxz7i0nyloca+S1P4a+vQK
3hK3l0Z/dQ45e1GcdXezItdshqGcvCKiEJOqPK0/y1yT17MaJ8pg1DnLIx3pbxjUfhv+OSqrY890
6uTnpFVcx2IU1eCCDAoUwcVfUEfS6QSq/6PECHB2JLCqiiPc9jVcGRagto2jb0/XwjJIULnfljsf
c2S/XnkDFpImpSaHP5/lxW/nevNhTDL21v5JhRdILMag8Ew34rk0KUwP+wvd9Md8lfeepizKMFHK
M7HI3SScEgiTM1KDUT4oI92PqJzQiWALipVbC4hlLEVT/8sm9m2EnrsL8k3DY9rgfWID2lW5EQ8k
6WMP7JX0ABbN85v2FzKoFjezcS2Pavh2Zt5rq+0v0mGaick8jdHsnxjh1zsR7E019ddkKuH9QqAz
3SxiJH6W4UpntPmT0BJhIANEUszmY0gDAEsV5z2Zv5IGec+D/seFeUr91g0JxrcpCB+KEbnIxNa+
K2gFXPtFRJnDb8LdXrhKtfBdx4IJO1IXgwh1xPrdg8D/Yf4Ex9dNtqkI1+QuJ3LslxXqCnNOcik5
6F37zC2WKw+4TgbUfhjNS3kusqwGc6R4j2aXzDG1XCYFLCOTTb834xH34s6f2uJoOvRToYS4MOyw
4TvvebZeaL+cd41RMMD0gwcxc472bFA5y8z0MHSoGMTfxNwvi/k6zLgdPuLW1WOUTd3JrbLxuBrL
D3aPwSvwuyVFeyAVFOYBjWs9BRflgr+3CBCkUp2EWE24627tYyUZD7HYLNdIj3LTCJlxX9HApxnx
NSCI1dJdAQ5/Lq3JYyRBr5Cb+A+ptvYe0MsI43bPkQbAb+BfB/RCkZ6gPHrWfIDZ+uNXDfheYM8C
B9DesWhc7rZurNGZmRKhcs4ufciyn458EOahz6nyTobyg0B3wPMF4GAgZ+fUoB6wtzKa7dlOTTy1
Q18SlApIhQl8blyhOUXTQ6ehRM+MwtGxrE/uR8Yg2a98XsB5LK9CrEUx3Evkttp8rWTSHdj9d4tm
re4UoxiCe9WOAsU7cEGvrL/HwSLjWtTLZ+uE9H9aq9jjAGx5PFnPZw8vrG0i9pZ18Dg5zXJMcIxw
M6V1YlfTGVGOTc4gEZGualbvccwE99yVR6sNbjmaQRvWZXig3+ZG+x0pasWJbQ5foGoQGJHdfh0U
S+xr1084nyT096XkToRfVlz6dg6uuvm98rQT8VzxJqOO7FrTvzESKnlTYWaw2aztL0Mc7z+c0jPi
tm6OTem1eBqqPdHkGksShsLJkiwHwRL1lN2xWDC59hV/uH1juJoeFc1y2cJ0vOxerbBpDhzkIL2t
Nbqh6ktcBsUJPyoPvY2fsvbZSwYDAcrFCae6pT52zXQbauAgXLK2qrc0xpJdw/8Yyv8XotPJcxiS
9tmt0AkTH8uP73FLSqhMBu9ACHms/zlG+jY7wb8q4UpkDVuJQd4895hl9jh+P/yNO2siqMjAOPi5
8+6WjU9hh4pnk8wcB9kkagL8YxWJPDhc4KAMSlh2Jr6mkkwIiD5+f9QMERPLaHsqFM1tHt2WnIhr
rsl6TjbcBs4X7LdUUp6kzTuYQAPdTUvBqaa5K7OxipiHeWgJ7WNpN+g9vLUZwRL8GYxV1ZTcDnX3
LlIcG2lhMzRocbBxDcwxfPBonpm8LbsOg+zBZiq5s5zOBa6Hfk1ODdry7JzgbTHCYe6bMBDe/7dU
BnLmvQ/z3dRCEcoy79+c99SrFUzW+37vNOsbUgvVelRWlQhq81RvuyxMR78t2rgqxGFSVkzhzcZn
gCWuWR4bh9ENeVhCgtKBK5YRYJbznc31a2cKB7mBGz9LNyd/T3RwkdueS9oYyWREuFxx7GTsvBce
cw56iPM7ink5byY1RdZDc19JCgYz6sSVQc1QleJxcPBk1bT/FBXbaqGYjOF3MU4DNX5WQuWksu31
iOCG9UwO5bm2mu08ixN7OOKYBz6m8MZx8zgw/M+v8UZXYXHBzJCc8rp/8seQvt0Sg8xMNrmeMtSS
Xqo7dnlrl1fkfjGokOEpuUrDd2OunTKfdsbkYEPTMH06B8LA5jLudG8G3lV+/6gXjd3/Zpb9CfBt
gqBDQUuKt85T/rkeWQQ0YHyGw4BQZOSnzU2mc6pgNsrvYMO615gJYmu075bkZk7I8csMuL8yyeXa
xEkPAk8HToX+RHKi39c6/SoxYVVbI7g1codFrnq3ncWJy5pTWrkJKRBMj3mgGPp3ap8KeN/aRWgd
LJupB1a1uEDzqWUDowCb9D7oge55hvmg+kLduCE4iizlEmgz88ea/m5DHWiCUsVW0PdnoHu8y97n
KmZkWxNl2m/181YOy0WHnywX+t6lN3GvsToBphi4hjh0dVmPto2dgd7j6uj3xcSewDGc7N6Gox+p
jQyWtyrgYrhYw1M4p/tBhd9b/nssYnPGcKhNh4Kj0otUuLZ7WskOpkSpgEqMHkQlmWGEE2fkcQA6
FHK6slBZNQHZxThhi3A5LTxTI3Rdsv7bo/G8Mnv0RvCNfQ3XjhRW0EwnM/QbCFJmyfWDOwk+XJ8p
9q4ocKDhdH8p+uJtkAhfhCzMfVGnWIICWsRIH6deyEQDHZqDbnY0RFIyhD9b6fjrLS02q03wpRwP
65HV/NIc85AmmmRh0cUzOJdoddcw0mQX/jveANZDFYF6E+V198zjuMamiZTTQG1iu/IxVahv0S8f
QXI3+Ny7VLWE+3q9q1UaogQy121KcCGwkQeZPZPvsI5lxxig5GaRZRaCCmxAgof8Wom6c7Hkn6hV
eSyXAXx8kzYxxF+UbqmzQyFGzjAJg+gq6WhbpBrHMNqPNMO4TwUrkrLiBMhGymiq5GdArqnnF6OX
J5cTaLxq7A4J7NOr1s+oPWSMbUwKR0Lo1Ht5xk/pRouTPi09SpCxvgjqBfc9ttouQzOT0PO8ofVA
hcDzaiwqGUrNvkLFHTO4LnjoBXaOimp3ELOSk251pG+ioo8VLKCjaG8pnOofRusgohPlBx3uOcCg
P2LWuxFGe9dp8c417w8CC04eBn+RPa7U2ejWjGUxxgigxAOM7qXKrOchw/g5unBDysp7CGTOmDXv
b3CLSQpH/I7LDpKvrRGfPMRa2+mPITbxja8yRvwCpyNU3EfJWOgE4+irDL1f4dtRVnuXrpi/6xK6
s82ImgsC8RwLHRpz9BffvLrS+NB3XO1xRNgeqUjrT7Vjdl3K6tNPkB9hC/b4xvR6b2695xe0j+Cu
LeV9NqGcBRIIhxkU78mCk3gCMWiZxpeTQP8ZQvayvNzGtUV9n+We9+xn9S0hiT9po8541oLKErAF
eoS9a8zP8QwafjXa8Jh6OJEGJW87Wb3o1ezOQDOPs2/8Zr1VRf9lqIWbowjI9nOmz/KCGo38agZ3
tV14l7oQmNG0f3LdMwCLCc8jo8rJnqZL2tdHc80IlSP3NrkTAcQPsW2qR+kVuJhoPzrijmEFceDQ
tTkgcB/G2iIKxlPgRu6ccbibMSDtSSK9DIQamPjjsKKmLyTa28esWvlhUP7zf1/A9sZbtPlwLwZ3
AbDPt8Fw8ADucj6bDgaZdYCXlJE6iw0Ot2uQ+Lf2ygNZUnszBlQX2B7T2Qps/TwMqLz1OBFn4ltr
OnbbnnbQoujthzCxz1M1FkebIeRB20txWP23QrgQBizgtYYwNpc/Xo4AlS3BpeUD7JC64h67aUD0
nSxeI2LcGvupr1FTWvB/KXekOjD7c+WwklaKcm8YqkDWnbd0gVJJJAkPHXc2pogqxuufk5eglKGV
yf+5Ay117ZHgS3GMZm/XC9IkbSvuXknOzTYV6yf0ZhSx4gm0tRuX5EejhZKvhX38GijG9eBo47n5
MjAFx7iAkqv/AvdFd1tkZXBasvkpQ0U5UiMkDr4iyy7p3z7jEr3JzcTkGLYu0HSHfBcmGGlgKQim
u+xCYUdPqu41RsZac/ICZZaaJNkKQTgpxyPWSvNsb6C2lVK3SzOwyCV1hvdfhyGgCyCoJTM/8gu7
zTq288j2nBNLm7EYB/ZEg0P8imwatzaH/2zN5ZEOILQS16oOXaOmuM0nCg7p/uttxLy295kktMbJ
m31WiGZeY9fO6+cspAXAulfDzLvdh5+ysCDj5OlrWCvnQUjrY1om80CJ+OsIn4zCCAhCRSDuC+R5
7Io3s1z0U2jSP5MuCK8cMV5dETz9hzfrvOCvpBs6spnykm7trkfbJtRoB+dJg3fXKR+rlRKoGRSC
Up7+Ftx/b9eGY4E98rgMpF3jZMaav1gJuznH2XcQWefSUjTiQonBYMoReuXOUVBZzBah8k/qo6j3
3U7kaxdcAnC5JBOgTTuW/zb3Gb0BbvLPLfS7kXOT9J0H18FWYvbAkBZl2XehXf+rNnYRqin2f12N
t4p4grTn/g7F3zuJynscJDjJDgXf4mRwJTbrI3uYdYefycO1kYVxO6zXUKiqV74z8xat72jbZMK3
4lHFiJaT+o55H3MtbDiXpuEQOBXOaz0KlwpYO+Ul40PksDPcip7sgn0PBLG/r4il7u0x6eOsojHA
r4Zkh2LYXOo0PWBSbVEGZ5t5vksvJYUKkEh6bGLjteHMhCRm41AHGarfGOSx0zySUJheOUGSLxZU
YPH7vZ5tBtNUheZuiyg0vgCXc+/MqQLPyG0x1e471blB1MIk2LWVoEG586vXtffo/U6aR4kFrs9a
80jVaXns8sl4zSp7H4LGW3M8BInJzJE8DFM+BBzjFM5+8LQW3OrHYTsDiXCIcce4FwuTwsJN8MfY
ogMiq5ga9ebtEFbyLmvwm0zN/yg7rya3kTXb/pWJfscZeBMxfR6K3hdZRlX1gpCF9yaR+PWzAJ3b
akkd0p0IBYMAyRINgMz8vr3XZnAQogi2GVyH+7QDfevTllkFo3LTAqUnRU0viTON0qWXH2EAIz9k
jD0mOodWWLESFr5FnmkwRSMrerbUjermjPq7sUnOGtjtdT9UFhNvzlIP+/O9FqODE19SitiB12mH
QPvswiQ4NKj5xg7doyMMbZlaOPC4dNW7SNJLKvJX6NXGHiriKu1b9yVDlV1qdDTVnFhQPzM/l/lQ
3TskPS2EYyqrQeQtZStruHUxM+n+IDzqpmWqxvcUYSDjkBJf+8SekQ67teBG+qod3xCCHDUyIe5Y
kKhrko0fpUGyNSuZzVDTMbUFMLZA0Z5xenWkN6cr0xbqBpH0Vk0G7aiAGzVpq6DpyMaVL+X7CgH7
CdhksVX7yFqFMY38vlZfI7Pc9lM10bL65JoUjn6nh2p2dNqRTMGeMF43CZKdXktWYbqfb1iA9as4
jvqTx1KsVDzSa1KVxalJ46pR+0PvoixtWfmQK7wVnAtbHZE87H+SI6x4AyRPXxmTkp1Tb425ASFd
QBrpzDeorbhbk7cD9yhIEaQT3s2cCv61r1i7cixf8/5Z9DK6D7L+3Gki26GFQafK9LkhHO8dJ0NS
kxKW0ZkRkYmYczq44qhBeFX42kOihJCb833cVuWBs29r1x0oGZPegOV7yv1ABxBsogwuHsknMjeH
VyPpLwBK9qyLgMC1YKuU1nI5iU7opJptQUnyQAH+LU5ijoIIkHaMjrKwk7faVwza3RxP+Fao/3rF
B0fV4LvXnK5Z+kIElbUHXkYJzj7ZWiVOqEaGle9M1bcWRTiXFuNeSfJXVWckl6CcjiNj9taSUUDA
FNzpjFiv3JXFOvL0PSFTzjEvEIA71Ba7MKoPigD7gHyzWJDADejVjh6SOJU7OOyoTYc8v6gf7BFk
KDU8eQwGOkSUpGizKTg4Sr0PH2CK10sjElfTVJK9U+nDnvB4FvMN9UYzTxWEARinYr+ikNj3zDC6
Yz8iYwgHEZy6MvY2Xofjlck3+VJ3HXA3Eha8dUiy08JT3yrQ7hQlkuE+9t1djs3+OU+wUeIAmIY9
XDV9GT8RQCZXM8CxSen3GDpMRrBrOJ1k354oOYSLLCyPIb2AO5uCx12OlTNpBBOEwiZLwhjLQ5y5
HwcmTUvAPJhavNiDAAqyExhKuURqDybOZhkH9+UjHBvMHSyLGkJ73ov4mTwZH9sViVDAXj40BgSO
LvThhlOERXcSMjs34isIXGyKrO04lWw8CE37jOv8jqBM6naxeW95zXDugHktyrBAicdk3WFd240y
pvnrDihQqL66khI9vON+nz11aaF8JmxoH9XxF8/TSc5AyUJ9oxWviuQw81NA6eFCds27pkoHmLG0
PEgL/qxiq6BL4jDtkFmwVPDtcVa0K5bySNOLB0dRrGtkD9RIdL4heqR4kXpOcfdNb0ERaUk4kquH
GtyrqcxF8aNlDv3F5BPYVX/h13sMagpFWtshezTURUNqLRFV2C9j5QNKuKXEkPlmMmA3gf2BLrf2
pMjmQ8hYizfsXYh94d0wJI99VXp7CwEa7oKOPrrjvtCsX8oMTRHkr/FFTPfIHmTp4fvdnpwT8Hb2
qGL140VIWrmcKkzaVIwcnxTWN/2IezcXbnIOmv5DlI5MjKXirTrKnQezgC4U15hcnEh/Q4Szm0KB
hykItSKRkQLuSCkoTmA2PIS6N0XsJA05G7Rvi3Ib+GV2VHWq8poTU6QJAJSUvXUqKFxeR9pvR9Xc
wFlmrUohMcjpGE6FRpsRt4NiU5uT2txiHjgOH1PCzxFt0juFUkpRwvL2pRKFu6zHshKR0I30wmt6
8IpM7u5CDVya3nYvLMZDVLFkQhmyKneaqb34eZrs8fUUm6ohURLFG1j6hE9NQA/0duo/jlNSf6dJ
o+TPEWlFwI+5yNAfwAkWtu/iYNSOGvyliJlNkRaE+wUmy31ie1cjZF+V0kSnuLu4Et7BAPCEqQTQ
aBjcisayHztkTYi18jVBahKAgDceOFffZwqRBjGS6cyOFL7C4pT5/UPr++q68jlj204AajTzt1HL
3RX+2NqX0DAQ3Mo6U/YKTGHUpo7Dt9CU51RuTCYs14xIxsIxfag1ILVyyjLbKKfAGsTqaRhpOvBT
OksjIaFO0awPud4hUZFU44BA3qlagZ08cjHtOsmjUlEzZ+2JPrB88eDUbkIGazWyNI6OzF1nLk0u
HLroBcN9nhgfOS7o51L2j3VTLtsmX1lJ6Cya7p1r4i4lFpEqA+/kDk4PbMwu/OIykVBr3zrb/Scd
yMQi1pJsC/csOzAMr7ErI0E2XGQvQ/HY1Zq9yWz5xHKNnA5MW0tBB4Uw3QKfLwiwtRST4IWUGCZT
2rELwnIl0LvDc0Edbp4N2cjtWOhvEGiwv+jePcMLZRi37jZBy+E2aIODPD6pDk7z6uC4O7u6pDCb
yX2EHHGaBZOwaClIGpgnJSFyJFWNUJfIglmbfFVE9ODKSW3RDvTIKKRmJrKOLLBXhp2l+5bBTq3H
9s4TEKrmIT11aIh2KjiU1t+O6rxkYlqIUuDZFRxEgUPqyNjTcFFtKmWhxuEqKI9sZNZ8EC54Ceqb
e1crHg0f7rXaDz4NR5dKuhq8s12WU/CSs0eXGQqVvInv0kjd30aZ0Ry6stFvaoF6o2txOIfoHVhS
c40q6KJEsjGP0ooplWIQGFgtLIcYDg5wgPlnqzuVzolSPFQFpwmnbsLKGIiXHSuc0sinDkUs1gbo
sZtU+e7UIY/uI4RReN8WRtzli5offgHZcXxQIomfMFxThuoRDZ4HVZrHuEQfgTQ1PKO7o1WhgqkU
Y6isQs29wMSdZHRO/VRZxp2T+E9hXZ+5Dnkm4u0mYpEfsopZlLaCoNXybYrFIMTxeCC7xvLusWzy
jEOZgulDvhoPqKeMuCDpwlKWPkKujTU29rFJE1Jaw4tS9ca1hnK8KOVekgf7sUcNZtVvdAflpwx3
9USqUC74x1gily0MQh9+SBhmRy1R+nVVv4uqrD35sDVh/voMNDYN/tRAhVUktX0rANPfSb0lWgUj
mcTEeHMSDKHgTqMjDAtPe+nbNr9XyzAhTEirJznmfQc270E4NhfBAc1SNcU21tHBNcZVBXLvQzbN
Y3R7D6lR++AKmk8K/yFaP+XaTpePWNUqMtdE885BHLUkKMy670MOFKXdQlZvbkkU0FpWdfziIcnY
SpDtieh9yUWaf4h8fU8OXbcjRuaq5RRNSstbcR3e+NNC5ddYl58BoMjZNUcFkqmzZtZmxvnfYFlo
S0kbxcBJwGBK8Yd+f5B7TJbCVVFHxZ6laLKBdseFAIFDiX3DLzAl1FJsW83ehoCwV733To4qs0h0
l6XubuouBgseSSJcOOYc34rvxMTfY/xatsy8jyUijFXbNIy0VSZ+84ncn+CVDkIi23B1ODSkfzs/
wCvR43haXFCWlGr9MOjORfFwktDoNAF+LJKBwFjB8L1ToGqnSr7mUh1t+GjVlJrWSbU6e3ARfeL7
htg8aTGaUD+iyBB11PCbZih2+Wg8oWEx9ojtoIyQcLkJMt26BH0/sfeLd1BJG0wU3Cgm7Xcj4yog
YzM/Qs7fu7vWMoprQwrdPjM4DkBqZgf6cG8u4so9KxM6MBU4FdIKKdzC5Qqkfakz/MMGkrNl5pjk
eiuDsQpVcDBVpn7ozXRAr4pENLVEsY14l3td6of5qbbx1hDbDb0Qzy7N0WudyOGM1JmudeHZ9yN+
EwsR/zELUF9psPshQ65aViOHzCq0k9OMLknd0P3AIaoXi/7U2jVJWI1dfVdJh8pjh5L418elpv8D
+mwidLmOSzSIof4Iu7RLJc5ER6pFRFmdBTQDiu/4z0wn/KUTZ/d6Sq2IMCUSmCMHT4MrUc0gHmxD
4lFpeUb3yfAJxeaoddWbrjPBiANtNfmDiBDOEEHYBbqNW5485iyb6TGwLMt7fg2pdfefbUOjZeE3
L2k5adqEmU1cmWzXJ6qFIpdqghcbwXloa1SKg9VupUTrxCQbi7VuP1kKdTotvqRZaj/4CnOw0UJF
De+xWKIlc495Nb72iXJkrVWexkZ/Q+ZVP6CWfyAscFULr3ogXAlzTrGtVTM/2+OAt6d2LBZZlJUG
k86Y1KFVk1zhjs0RDXaxobA5TZFUcoWFd9f30VF3yGaqLGYWxF0bSpOsCpU2QbXxH8K4vPc8TM+2
olIDKUpnYQIGcqBB1DjfNp6LNAGZCVbdvNPXZKCP64YEqWWCAMM0kTBZeMKXqNGahVmN7jlq9AEL
ooRFNKAx1mmWvKG+Qx0wLYjbIt610SfiUbxl2hbiwjmyni7Ovl6Zb7aTIdxLMrHOm0lVEtZoyUy3
us99ADh5QLJTH3L5n+CbsrPU1yYZCqTa1VOnthauSHgbjh8fkXk9uRZU/YEwqd+giNx/QCTaJpdK
F1KibfHve2gcUzPqHxJEooMp6M5tumip1B0pWITILzvq+bGHE+5Oc69tM27DUk8fy1Fx91wA5SKp
UJNUrkpFkQM49Y0Iuoi6Mx3Y7Q7YN1Be9Z3IonKH+LeGs992mBgWrfDkG6r7Taip+o0FP5T0Qq4o
z5ibgJEX92TmHSKyOVAMEn9RpR7kzWH4gvwvvsKYowDQue0hU7aYgfydOXBkqBni917gIu/zO5EM
FQG3+p7yv3JKYY9fMJwguZLdOgnU/INt1KRqkFJa+n1537oh5azQ6Y/RNOtSelrU+IcpTVXvusKr
T5aNYF9zuISUUYBo1jRujJl8XxQzzLBRXocK15VFOWJTCwWxTlJidI5yjwmyk7zI8HX0w1Wd9vLN
1pDvoYXHFdjW8dL3PZSF1nj9Gi/GherX15x/vORYqkbthuWLhpz4+x8YyCWdcl0nu6GU2MYM2O5o
Zj0uMGTHdBNka2ic1wqHvnDCQ9SnykU2pYG+1LdXBL1WDO6Ws65lsUt7aOTUCK17MMskhRko1IiE
xOKbUigxQF9SXjsk4rM+WKwpOrX7DQXT+mkYtEzbdUDnGoZmma4+oVD/NrCzlBn6jKAdhiwMMOSC
n2jeYtQqXqhde8AiY+zdhP4RVFxHRANwso0NOoUm9d+koYRXq0Fj5ijJykuy5qB7TnHBbH11FX3X
TL9OD35vpVjp+0DDzCbbETXQUIoNKj/UOgMI6zp/7Vvjgw55M9c1uSWRGwFk57yQ1dfvcpdryzBV
VJCC3oye1PnMcjc06AuYBaP1GKJAqGiWLfJ2MLZEcRxJIMiuttdRGnLdHbXBYVU0qVj9+jgwfiKO
WTTMzCnBgy/PYlL6/VfX2ioKMJdGjUVgU1QJgCOWu/Ns8tdaL1ch49JwlE2IUJwYvqWSZ+kFudeN
MMs7Q4BpLJLksZVWek4Dk7KgTcEQrS24O5PaKM6yDP/SmxaaOJBa87kTpP+w6IHKoIWb0OxM+vz4
E1Ldr07G8NIzSv7mWqb9fC2zuITpXM9My3bs+Vr3t6MjovmeN3QiUKlTFxKiOcWN9RooI1SqHmyJ
qe+VgDyZXrFOvhVdAUI24tHshrdE4ffJNE/+Zt72Dzhc3hKzUMsCRKs7PyanhKTkCaPHdzEY4XMt
++cQdTx5JCRPJoDaiCMs7wIxGQc8AWEEmtrC9ahTDCltGuxAv+F3Gj9PQDgKNINuARkIQHF/oG1j
+SP3M0mplWsEYPCGm0Vh5uI5gNOUvOQ+KEnFp1XAp+kWY0y9wYVy2cS86QQUwlbxw49pA5O6dZON
rbCUVabQaBIgriy4d2OCWVtniK+yNF4F8KUWVIJg5CrIL+ADRXmkLvscuKY9QHvWfeZ7LsngVn5t
9fo6HxxCiodfH/v/kHjGp7ZhtLqOpU4I6u+PfVQ/qGPSiqKR77ypDiVcaYvLMALdjBJwyXK0TqZP
EcqiJgspofzsGSTtzOe3UniYXyqGrdrrulWPlVGJV1bHtPvX71I3eBffo5M5eB2HBRKtI0PTf2AC
NnVlB14PoD61+id67RumwmhQp7a0Tx8vcBJq4tHFKzlMc91VUXwOj0EaP2tT5hbg6Y1S9LDBY+Qn
IjGx4gvWLJ1zjQvH2aTgDXdgVV8Y0Pa/fuf/cJQ7nHSObhrTldmaI9P+duJhERu90uYol+MY7Jxo
RPwWhd6mwWOzsGkSXLLQOrljRt2azDhOCXNFTjS5bcXeCGvjN0e59vNRzvshHnmKKnP40X9cLUU0
V6mSwHr1aoh/jODrRJhYmqlLjHNPJySATSgoqYeaPrXQ3yKH+JoZ6jzngnkjoT4OFt6JFP2bb2sa
pL7/nR3enq5SS9FNVbd/YAZriinwd5pkTwlfO4bovanUVgtSt159KOobWDBAvLKKLN/UK3bd2qiC
J6laj79+H9Y/vI8J5OtCoIe4zQzw+7PClmrMworB1OiqV3+E+HbXhOIsRT0ps718ozfocBm+smXU
h/HaNmNwVRXMZjHCuohUzVg1VnsTmgMMBQv8pvShd40lRfuEZdmoWN4Gz093FxCSs1HpsDHhccb8
MDCkwixgDW1UVr1sLDVbdZV4p2DsXRMqZ2zq1DiWbgCtsHEwXWTNuB4zz9vlmfnQ68l11oVoIjjn
CV0I13DLheJ3iDjz8tH1LRXetdOuYr+hfOZbWJgVXMBZg6Gi9zGe/vqb1KZv6odf1CVTwrAdV9VR
DP5AkVU7i7xd+tWsKvJ85z77Dq0dInzrxql3CJeKpVlj1SXWWBWquYATeU9HhH5uE/oHHxHMb06A
GfX8wxsCBu8BCwfEzpH24wlQRLYrVFaxQ9yzKIeUWlCxHr0ObNVkh3X0BP14kCDdUqfBPJHFtk/r
DBOewSqS4sEb4PhbGdmfgioXO9ZuwRWD5apWzOQQ16m9dFiXEQGWglGlH4Zmfai3iWLf11xLwXLt
tVbqW/hnWAHg+CBuuOWWcK8SJzO4W+VouFz8pQLJJyIseYEv7L1J8XFpIjq9ZrZrLgy9Dza4EbIl
Snq5/PVv5v189PNb6Z6hOxCAfwbVxxGgJvRh9Htyy9kpo+kfWk2LDqqlNfIuK7lmMBBPy5DsYZQ2
CUDCZAwbuh1i/Roz7GDvDKwIDbLgIG88CFy0jqsRt6+BpdPT37t9SgODPv6yle4XsPywlVP3g5G7
+p5ML/WqYuC8gxmhLusEXSQCplOfOPHJQ5qIA3Jaj0eDflJTRz8BKQtrsz0NTnMgIjLbhgl1b1Qn
FL9VicrRBX8Y1Zl+623+x3gSZbTx+DwCowcHhqIbQeYnKLybTu/uafDa66DWloYpS9KfJHhIrbUX
Ydu+Ji0tdVJFWhsHYUmM1EHT2+cSCk9JJ451hnIXLzBF7o3KLlHClEvdDZ5HEOn7CmA83mjCEiM8
656dROs4tIZNyuwSqIKO3duHY3+wBI1y3a22Jc7IvZ68BOMH+kiMXQVgMy/31OPXG8/4zc/+D8sh
VyUb1ibtleueOV8U/zZUFSZd1FIXwaIPbmqIOtzNPxkFxdhewyED6g0grXIYyXuuEYvv4ig/RoWM
9tSKMMlQuY06eaD3T+W2gAQ7PMAeR9Os+1fsABsDg8FuDhtws4l4pzewFQm8/vWx+zO12nI1C4I+
Qy7zGbxO31+5Y7hGSWX5zOJCr9hQe+l3ddpsnEHPT9FWHd2947u3TiorqHrD2esBOwudiZx1CiJY
7bxNb5lgpFkMY/FKgml2zGP346/f5c9zTWqWnF2mzjXImCJxv3+XJYNwjCAvWvAx7lujdrfBFA0J
MOWoBDBAfAKljrqbbwDGt+s2pNCda8Z0nYSWaKr1deqQFD2kiZS0gLVGV5euQbLtoFyefeJBgohM
RmRipNGNIdca8Spy8xFiUb+OujpcDmb3UFEhrw1mILbRwrloOHMbvKjmmLUXVRcbrizub9JOtJ9W
qXxw1yHxSGXhbUEc/P6D2400Y2YmU2kTIiSNvGIzltMwGEuDfhVNhTFESeikJu1W4aHztBCD/Obb
96ZB57sxwLFA9ZORbGq2TubRDwt/IGGqsAOBv7NOKLUHlCV8vHas19Snyb2Hz/tYp93RGWr1XduP
z/BF8GMOw2cYic9wEL3XzAk/DnppbyamFOvZisqa4NTe4a2t7tpRB8aElhMMQrYAjg4TXaHdPCrd
c6QX7+0RkpxjEpIlqBGY5FBBMgO2VuLwBKCICnRqczbegS4PFiGfnMdYANfM+y8CxcqKBi+zR5RK
uQnmavAM2o1dc8YPd9fYMSwUEQHpH1aVlGJn+OBZOjyJI/CxpVWRy2R5gK+0CoWNjh4N2YG9gL34
lEavMsA5bgI4WyQxHJrWM9+5ITFJCbt9dSJGckFtR2RXVqG8n37Egiymu45u9B1uypLJNuBHCUBx
BIqVUPMmeucW0Cy9s+lxiFG9IFfDHhHivgB5CNnN2tYNI1+nIQTAHOEXKn1vinLoFJ9UnIOSD7DK
IsJ4uyzEBucTD5Db3qrvlWYJ/HgK732P0T9eNTXr7dATL51FyBM1NdSppbdSI/sRtiEGObjG0RRU
2jTZImlksG6n3nUQlEds3EeniW6ZRuGiCQjCJQzhxXLh3Ux1dHrLLVx2PLItvU+X7kbnYlvGAFcv
3HHvJNAl7SFWKZIDZtWzD6Wu3k/ykUTvXGDVuOl80xk4FHoQjoq9H/X8Pq5dichZbK3Rfq/WVFeD
vrwIhyDjOn821eo1UhjtBsG6wIBpEXQiWugW/68OswaTennRYdGO6D4aqs2wmvMFM8eHZtBwiurY
0QftXGXZgI85zNboLobO4au15YY0kHINiQfTLnOzwYR/2VsVdokOVaIgHQc6CVzqIgvrDXYC2AHU
bemotO6liJ+susw2WUdEFEK7Vdbiy2eOiq/AK8Ybi6Dx5prQ52Qax3sWWziBw8ecMsC2LPEklorq
Hyqd33Mox3KNy6gg45vwd8fXGTyiZDMGvXeAqqacdR0OoSmKXWl72Snwx+zUx9e41J09B716aAsD
3Klm0JW1Ew7PdkDBk0dIjdIwQWNs6frO0vTg7IUc9olZvsQa8wXByn7ZWYvpMurRkmGYt/lVEZuk
BQbD0pycjky9JrAUTU0BEir2LiXiiUvYOw9Fg+PFlzaQgck7pCY2AvO0uXgmtpgIC9gqN8z8EAXm
o6GJ8KKH2ZdeZu7OTWlDBm1+aYktRG8XLiypn5MuLDexYoMitsJ8o2lYgCIQoDugcROLEKCBx3TP
9qky5/iLUJefZKqyckOIv0aIb69co/8EtBKTWc78muK+TnDm5z7rsXZ1JgU0s7HdtYulRsvpXpAc
b/d3+iD7Qw6uE94mcI2OfrkWISCiinhrXIQ5Q2gfdX1CC+E7XNiZ/iY6yziB2H1SROru8yjF2BgA
ks9Cs97hNG7LYaej5udQoIXW9rLdulTO77CJBYQj52+DXRMOhD8VIijypmz0o/u8RmvuR4Z2tOnH
Wp2N0t6khpJlX5rOiHZRqpQL12/vYwP1Af4j5Aj2+Aj4sT7keN5BiQ39a1ysHVx2qd/L+9K3gRfE
FlistI0PkWjlXdJVw1V1g1WLTegBJGxXx+mJ0eGJPJHmvqnG2wiBmytiu1OKkSotSJWJscg36PrZ
KerLV7poTAwiK106avBQt/HbWBSklhhvxiQGD2wThkdYLvPY5gcTMUjQqCaRqNdSJFGIHucIlDIZ
TmVJhy4haW1A379yGpfIi6p411ZacyWR4CBrDt/cDuNlPKBTpOeVL7ohT3ZRgVMBny5LY8VCe1Uw
rKjwdzejJL+wt+EvwZsI34EXXDkWRQZ1MLxtU6IU7Uvw5rkdv8vtzFgplcMRDTk1inEnsRoOV7mO
ulMReIDzys0eqynLchIW/nr8ncb4n0Zfw2SG6VGFIMz++zmAaF1JGnYfgywA2tsQRsqSNBUQUGpt
C6TnakdMgeb/87+/C+ts/v0/bH8sSomqPmx/2Pz3Y5Hx73+m1/z1nO9f8e9T9LEumuJL+8tnbT4X
5/fZ5+bHJ333l/nf//Pulu/b999trPI2auW1+1zLGzDztJ3fRfC5mJ75//vgf32e/8qjLD//+cfH
go2cPX/8Z/fu059/MLc0Kef999//+n8ent7+n3+suhroxj+85PP7pv3zD9v+l+E4pkfsjK5q2NZI
iBGfp0cU3fyXTccEKSBOfttUpxTWvKjb8M8/HO1fmkOAB9lalClUx+UtNEU3PWSY/+KizeqCF1AK
MOlR/L/3dv/1APn6k/FN/Gf7+/hV+/sjyTKZP5vQ/ynZqxpTfeuHaXQa+IVepBou5Vid/NGh48C1
o7s+qmN26ACd75pBXc67vj46P/C3u+FIx7KhNE/MYO2SXhMg7dRK54ISU91+3ZwfMcN2EriZqgtP
JauXHdVftNG8JhqYLc4PgLseoMhOz3E5gQCWBASRAjQNAUVj9oubqzrdlCENmcoeIGxOm/MD8z5K
PuG2zk3m9wOY/BDvORGGAUgIv3D3vZq2twKf2iXv0tW8lXVDezOQO63RjsEvgZy68CpfWQOWcK4Z
mJNFWRsOLiCUSUCk1SdTq7wDMk3nWvm5c8095hu9ez8/v7fD4WR6xWF+6OuT6A/vgAORMz69JkyK
fTcg1Wt8oz4FEL1Y+JU5S/7AXYaapZKZNm3bg1wjj1fQd4NDvQsH9COJU5T4rAsw0QUiZpQHXadq
SHrbU1QTkOX1VPRE4frX2suV62CyDFBT/WwQVHCtGXjOA5f4+bH5WeSoV5CPGsCk0/O/vhLl+YoM
DAeN1XF0PPW5jdR0Yym6vpo3eY/jUrYl+rXpUXW06eBn4j9P7gJ5I7aUztj0oBa8Hyw7exJF694c
adITZ6+SOuW5lhb0MIQTCRM7TbHNiwXvjOgIr9rMm99uHFFOLoT49G1XZxrDIW8RPDqpBa3MtM++
9giTtX+gvkKUTfJgF4F4gEWKRzgV3abz8/4hzmjqgQR4DsEjwRgAMYKtbTjOz83INl2UDXbuwao+
SXuw16Mw62M+1s1xvvftxg4BHdN8YBJfifaTmJ7sTvt+eAoQxPZAM4kQA7SsIN4AOD/2im9/qkMs
+QQBvVQejANF6+tTlyXKAXeYRfIGTnI/NjbAQ7UbaJPwJpmrcELd+mmPAImyUbMMacFf+zTLfwDT
TibktIsVs30Ys+F9GJYArAWT91tNTQapZFu6O1PtLhqYqy3zlhoCarhscSGMz8Qqxh8xwiJdzIsI
YheMifnet33f7k2PBkjjlixLeJ4uPEL/svNs2RFglTDnjWhlp33z3M4WabmmmelMyeDBKUWxdgoz
J0b/rX1JZB5+3QUKm2bJt+2/nhJPL6DY1m8KhzXb/ItWiYozbYRHzdKhf4jiOD4zv7zMD87HQ0vK
wF1iheph3uwUY9xSv6kX81MKMz2MPaSxbqi8y6CEcqF6afXB6XCbdJ3zSamt4k7EqrxWAr2BJqv3
0NmmN4jP7ZRPyqIm7IPToNHm5NfFTEoEju52TkPbzdqT/Urap9HhyeMgWFgDDJd5MymzYRvQT2MZ
xaLd7YIvmGWMMy7v3M3as2qP2ACnPfMNnYVxyXFWLOcHBkpG1OFsxPyJqR3mm7EJ9a/35s2AeDgO
ugyK2l9P+fa81KUQ7taVWCaye6xVV0egFRWXaasSpfFkVEyyp62+amFxlzkShGqgtcJXvgpKxXww
Cjs9u5Zzb44ixb7tiZuqtkTGjg56PUQm7ZA174oG8prsdUybZNyfK8Mbjlbf7tXBg91rxIFYsCve
1qYdPoxtZZwdHpXzo8iMBd6/gGSzWCSbVhSVdcKM0x2i7snQgSzUtS4PXpYsNLQ6t/nGyliLA8BA
tDPU7dd9MabXCDfGvV85CeJMd2tOq42aQ1NMx+i8VSgshUmuys7U8Lw9jIxs7/cd6vLJgzbd/PXY
/HzROs3lr78zv+bbrr/2G/UhaXH6zJ8PO0u1q4tpDSkIJMBlKx+Mikm0bXThQyFltYvAdUPJqKpz
VAYC8SviiE1nE8IhuGK+VabnXiyt8C6RkgZLKwWE923ffI+C8aaWkXb8tj9FQL0yWq9fMO344vd9
ta6LnvbAVJnWpAHg69v2fG8uvidYrbrUu8S936M8TZFxuIN8UdFvQcysYyAerrkB5VXsIBvjueAS
vq1iLAcys8tN4fuTTzDrH3s7HY66B81pfhQ9Xfkwlo/zYwaXn3t1TM7d9LeBI0N0o4d96ItWvKC7
nfaa2hQnAr3uuYxDlqfTafftZj4VfT/Wj1Qyvp2StW5znn57mp3mEAeFuk9aA2B7WUrM3A6aSzcB
3ycD+eS0MERCQ77QcxY7s23MZTVt/vA0a3rakN7sEsea1OhDx/a+Zq1yq5QofYv14MFwwuc+oSIi
wU3fWl+r7i3g02lfJ7d5V49PfWeUZM3Nm/MDQRK0Sykm+fj0qnnf//UP5XWRn7vSGImq9HvN27t0
/G4sXgx0S365i6fRoQxTg7yaDMCjKbNFqivq5D1LV/OTp4nbzVZQRWIwOdtNC4wIm1T8xacaIg82
pEpr6qPgqm52ocN/FM4L8VKrf94u4o74NhawdMNHTCwIrB7Cegzvw0Yn6LiK/NdM1oeuKf3PqCj3
GCmyNxW96KJSbTpZuBjtXqZnnYzphdKUzIri3L940w1hFijE8meD1Tr880xAqizHkMil6W4/3ajM
Bfc5hYOtHPGn4KFBlKlvpw7McXBxBt6F5lgf5+353nwTc91ZJ2lcMq2oWXuritIccrfi44mWhiAt
J9ETQIefnLuzbHW+903FOm/ON/NrXfLHF1qLpJGfdtRQYU4+xjr9PN2JpjuQRL/emfYIoebvMX1M
b1h0zqlDE0vrHT9YargcXJXpHDEJPSXDwEVkfjRuWrmT8NK+PkomhNWF59zRLIGe0BCn+abEkLYr
tOz6bdd8T4ADOQFVf0jj1iFpYxq8o04/lnqdHoQGcWVFwWfvIV9FTk76C02U+cb96968qSBrPqqE
0mg6x5AR2dXZ1o03vf9fws5rOW5cW8NPxComMNx2zt1qRfuG5TBmzplPfz5C3iOP9q4zF4MiALZH
apHAwlp/sPTnsomrS4SwoJga/TmaoBR4TtwuynnvCQwsKHRHv3Rm995rMvI6RtiFj2owHIHQutS0
AC10d98lH+SbzUnPge0niDp+jf3kDR0s7T5rTJ06P2IHmBFXQaqt0BYNl66DLn+dFUO+RSflB/Q/
ZYNw5f79yW3jiVicrnS7tCY0b+uAhM7HHp+Dm952QfZVLicf4x+rjRz7521kelIS4fyONdaxiFEN
MUQ1ftvINUpEkqp43QbON7f0yx3MG6y6iGtf8w7yZYNeGwJHpfGKh4VKRJskZ81NzNfB32d+WS90
PAaeqAN8wdJHe3RyhPpmX6xN5kbNV0//hvt58N2yQn0FgMKEzArXv62dyrqYMxaXUra/6/Cs3olg
6p9qpf3a9GX6w8AL3TMAXX66QWvrr0lgWtegcU2QReoqcjXS00M5rfw4JfeS1+Pvq4mxQM7O9+Wl
bXyfHwnD0ZITzFr5jLw/LU4KA3Z+ZGRXkNLY1yP0R/jEN6fQUjyo/frBrrTqoSv0m0tp8lS0eXa1
ASvjWZ9RD6ywM5wb3GVXoRkrN9lrDNQYKdAj8Z8b3i7XZ+kR+C7Hj0/JGGY+JNpB//tTsT4koIvQ
S0oU3e7u0wR8RDj5M1UOIhy4hzDV3PGSNIl4dAulWqelTQocHzNQePP21KSWd+ohCkF2iMOjVmXG
c513zsIVTXiU7wGwYGdRCj08yhdhEMWTB3IujxWc5yoULwwMza9B4SU/eA27jTUCge5Mt4JuItJb
qKO8Yal5ci2VJ9lRWhgTAVJROLP7MZioeDzIxwz0cgx4zh4O8h2Ts7iKILyJMuehdkaU63SNgoGi
+ASXqM6qW9lH4wC7w5EKPiZIw63qq3JvUvNnq1fDx9CxkMTMDetn532JAe2uzdBOD7YK+WrA7xcn
wTkeJHIN20zcTaQBH+PebZbNzmgH52QMEdJvjKwMsmtf4MTtieuqn2rT/JWiRf2EAIGPJsUk9mNT
tTf+uumyRLjkJwJHSlH9jGwPF4lpnGBNNdo+F0q0zYEaPI2B9csMrGhnkN+aXrQhyI9VWdXXMsTR
YqrdZtePHYuZG2S/+57foh+jYsloNeekHaNrn7pUFQst+D55/iUfAadnFgTiiRzrFqHB4A2sxQaU
u0vkUMRHdGsEehWX1NQE2yYdlTruMnIjfSfnXBLYYEbnvRO4fPGkHcLesb8h9VBDePPVA/zT7j6E
gEhyow6+Y2yMqr8ZJXcvF7gEizDcmyPn0tCsSGHCFLtIISFbT39fKWo7gZ7okB+UCkOxUx6F5bPb
uH58Klu0ku3afSE/0Oxzq8e4yRm8TaYFwabviL4addw6sTAfe20Qj6Iuf8HWS/gbMSQ8NPwNb+1b
cQvoS2AEKNCDA8ps3dzeQDiigt5lx1eYS9ZPLdJuHbvOK09mvrYQpD6hhGGesgFcG7TLFSF8dGbH
hP9siUf5/ah29zr1ZXaWX15ai3QjWkE1SPX23oBEhe2QlJ5047U2Ylb9ynTRiInN1wkve2AujbYd
o8J4dQr11wj8ac+rACXLKTEr0XizIrATUO6TwVvDsganZ1voyTpJC3xcQ5mSlDtnNdtJrmY5KkcQ
6spKzzv7qzmocDer9MenO2D4QeoqRH9sQXEQlURzKjmy74Fum9vQ6En4wPO59S3cMm0S7Q+9fyBG
QXY3tWocj7XiAsm8uTmxivzB4Jxlr/fV5hak+KqQE0BxLppwpy0jL4Qr324T1xbl2uixXFWHjhPZ
fDc+6PYBxUxrp7i2xRUMjarMz8LT58rUfCmbOlfzcxGhY6a6RUc4R1eOgdhU0bl0on2NQFSjB5yr
MsvaCFg8+0pNtFtipOEycNzo5xCfuijwfySeivvnAFpQCCU+UsJwqB9U0XJCfOgE4e1pylhMFlq3
cQCfUTRK8otJif5r6HC2acImejJDHI7iqawuArLFTilide+ZdXmG+eGtp3FYj7Y9l9OT/Cwbp+jy
M8IcFFGRrMCEMEb+6I9Bb56vSlxNLQvNR7TCc9G/ZUHaHx3AE8txJg7LKd1L2iMiTET5GJ1V/Zua
dr9vkqMAkAcEb9F9z7GvkrFPnQHTRB3+3/vymNg604OAQwAI1HkpFepeFkDUF4/Xs7CHF12b1Fus
5vdKtMpL3BThMa1BypjzTZoJy0P4abGJYrs+BcOsShGaNrl9tVy9H4tnKqs+ptNNnhrlrB1YJcTG
+Ug9z2ok26Bp5mX8LQOwiR34eBRKp6+VDCHGqStG9CAZk03595XsGoaPBNnHtGE/xonSLn0CpDs4
7xJwx+g/9uSm3q/k2MesvKp1A8qp1X2bxUb7/CoTQDIz5M8H6d+jcqBtJnvbqz2CAL023kqhtZe4
aZfNnGRb1+MQIvICMgrocI6iu4n2ShqaPPE5OQjcYdAca/VqbczbjOo300U3i4uQW5Ah+mcfsP2Z
TAAb9t/3yo9S/FLlvUFKAQxBGZxNoqI7enOjzEiifLDR6GugjFnoSQFnmwfl9MeNbqLDhEtRxV2W
nh+uIkq951GP7DMbFKJiffcoex/jumL8viO0QnS3u77fNu6r3gKN0NnY/Jyit+45zd6Ou+yuO1Z2
x0a0NGbmOqS3O5DX5NDN5eGuaHGpLh20/qIW7P/HB1hzL34xZmc5hFxxdOnL4AD3wl/1ahlvWtwr
HXir+asP0f4QjQVdp8IMwG+HU2lhjIG8iP7cpvNXbTZ/duVsHE4TZdIO+rJVoEfq4kWdGq61MoXS
n2UDIEzfCsNKt1olynsYiLXu+saz7CWxtVb/0TPm/5+cKzOsoua5HNICTLzpwrbz6GoZOY05p2PY
eX9uQ5ds4H+yPp0/TmtDLaEowzzTgrrA6s1zj7lGqgEbKrjv2ADypKB7UKC8StHcmY4Tku+ajbhP
l6MeiTSEsi/zIbiKyT+9Z7WE179ZLWuwDBddBzkb0cQHL3Z6ypNF+QWjAwL1tH/W27E4WfgHI0jD
uN+wTQFcHM7liNhOimZam+NwC/CrQbQfn3vEf/JLp3vWOcOiZQzYzFHEuGQYDGFj1sXEI9YbgLfi
lW/ZOcMHAcMGCe9VwbRjN5RwysO5C9HRhcCr4z41d0dneKwM7IWCJM1OqoWACtodiKvEdvoUtmn/
aJlQ+3Sr5kNBMPOsy1MwT1ponrTnlsAkO+R6Gp969YhEpVWwepfe0cF2Kscc9Sd2AudaC8Ud2Q/k
4irfmqVodHhkZn5874rGeBZG97urzX/Lj9npn105K29GDMFayC4sW4dNGDcboBRN9R3reLxbeAum
xjJ33tpT0Uiy/fFrUmg40c3MPUNDqx7Tn2fJhPoYz9Uofpzvj+eTol73yrLUA9x2DDiYRZGLl9ZW
T2BV+gcFrNHLWJAG0cQLRJzuVnTx3Zp7DsesI+gJbyE/wkYGncyG2CFno1n/hlJStNHbTHvOSn38
WvVmfy4jLD2iBHQ6u+MMRMIZAhSKqd49C6pvWBs7tBu0uxxKYtQ9Dao+a2TQ+ETv2lSDAu0ygCWf
M8HUEXit9Zp8oYPj2jwkmxTFegMHgFxDRBz9OXkff3jzfRqY3PsnPo9X/PyA+Majaje4IPS+tio9
FUyF7IPS0lbAQdk/NKA/wARSVmf3UX4Bo9K2PFdImsgvIM5cZB8UcEVyNprIVps+1Wg5O0GiwypE
iJOcrdL8iFqOdaMyF7z/iKSuVwMkxpM2p70/fjOYnwIoSIPfwd8TQp8oBmoh5P5YrU7y5vexer57
iM9+tXcigqcuctKbbEYIJqAkFKxMvDmM+c84Hyi2Gmpz7/e24fD7A5brHzFKS06+GQ0oQCJ7oCOY
BBCiTJcDCcFXkjCor9hWj2BHYb92Wfuk1ViZ+U7dP4ID3NlWuxawYRrLyI6g/91tqlRHy2yzozk3
8uqjkbcVRvLnhBz7uEXOfhqT3dHQn7yRt08YMo+s9lvske0ZkkZ20sFBElbkeP2YHUzfWYa66Vwd
xy+ti9oZe3UOC2SjaOPvK9mVDndyzHCDg6j0evc+HoM8XAgjdA+FS/ooqvATbapzXc6A8E5vt7Y9
1Qc5Jmc/GjkG4g2ecj+Nq08TH10lAn7TRdGT7tVIP+fsI+vCO0xDq13nXM+tRFTw5iDut8Q9Ptrk
c1dOFF7R43cS3bxs/hDkzq9GUMLPp5DYFQTwPVWOzZAiYyMgKsp8Cb718aooUnHyU6x/IQ5bi5bj
1/eucB7mUqsfdriuei6AZwsxra1vFu2KdFO68lOX03RZtdVRT6B2wEzw8XYDh+TWwM1MyxPHDgCY
3RUZa0iStNu6R9j0vY/ZPAXzbu8IhVlMr3DlLDFi7ebDXjM38ipQ/Wzd+Gq/JO+Qk1rjACgn5FUP
QR7h29g5yPhGK0yKyyFqXzL6cRqigbbuXt/jJr9C96wekb0IU8z7nD65BQA9b1OR/6gntfiCgmK4
1tDD3Mtu37ISO9abG9vdHhaqBUxoAoTG79RRgeYSo5RZwMePN15f+w+Nlbq3Zvqd5fi7p86pwDEa
3ZvqB+8JETk392S25O87ZXakn+/8+1/55+dSBNqOKH30CF7Xq6IZzJOlZ+ZJFU5IMDlfykHIkOap
5U2FkZomy48bh7rgRtn/uNEyipeQeun2j3/Ls7SH9wJp6jlbqxjHS2M448UvybNanSrex+SEOc/y
PXdnx3yTI/jfIRcrL/vMKTYFhbBFvW5PaalvIE1aP9W+/6EUdv2Md0a5ScfcO3SYUl8cGP2rNvHh
x8UWAmE9Rq97JwgofJUmGXU3rWdlNFQWcuo6h3Ru5JVsAqVzDx6qBZhGzTOyP4jAe7/6PPPxTwyW
hsnCR19e+a19RPLH2LWNqZ4aauwnxbTRVJWXoKHVU5U7r8D2RkRcuKWeG3klG3mHvFd253u9dvh9
rxV2E5a98ydyL4hP1bQv0fo9NX5xq2c0Rybq6kEOCbe+yZ4c//uughPQwcsRIES2YsYDoJzsXh2M
ftZt2QQrWTKTBTE54eb2S2A36WFy4a4uzN7Hjlpm8EqRDftJZsARXvEAaQos2eYkUjz50B7mKy1V
1RUYONTv5m4hEvLl8PzUlZgH5T3ybm+u7Xf+tM7aPniGgZQ3T24+UMxEeN/TN6reU3L0XDI8ZdSs
Qk1BgWJO2Yd5NZxZ7oazaqKH7yK+vohQWh0XcpCsyICaWvmCr16RuFtFe1Vn8Qx9bjIfJR8IUtQs
7Lk+IRs5I++xsobKhbxUwrXdtwp63oazdYT/y2n76EcP2kSkP4qZUIXx+Hg2SxJwpuP9cpqAIn2n
csiOGs5Dk+Gf5Zi8gniV7UjmJGRuerLVc8zXFc0N058zgrfGM2z45pbRk3PVRAJjnkv1qcWh1FTX
ahdmqI7HyRMSI+WWNVMcZaNOhVdvAH24HPbMeivUrnrAv0ls0MNG4FcGLUoFSMI3l33WpcRhufbs
FuIbVGHQFjreh20Qf9WtAqPEPKE81KBHaBTaczGrmFhTEt+VrC42IveqlRyTDYBsDKSCAPzsfJ9s
BoItA3uFG+RAVE6dY+BFMUByk5SCUZEfNc2HStW8GwXdtzoIptPo5MpaON7SspXuaYhN9UFRg4uM
1+F8WQfAS91SxvoUYwUO23m9VawaOKNKnSQK+qUGjtLcKXZdYGJJ+rnyo/qExtBPmbOTQwAWdhgW
kKSvDQytVI+NvYTVuZ7mY5Jrm6++0+JnOfdEOMRgDcaDPFDJIasH8l2FYXbVByVf+lGX/7DLF5nX
s1Rg16JslXuT+crKlkGDy/t2MEKNv5kREjYbQcq6O//R0rG2jlUTu/VG4Si+HMhWcU71LTDHhXWQ
V7IZSetmi4/+/7qn0jtlg4TWzRh6nA/+1y3/89/6+F9ZAj8Wz9JD4BPUB8WqGeLuONh6d0RsjPN7
rTfdsZ0bOYOLerVDbnhvkVKZIdHcLWd7Is6FRe56TTiSc7gGgs2L66zJqtGdGznxPjt3h6HKDjgC
b/8YR7EVkakWP4rM6c+iU6NxkeHygrHKcMRInCPjPCEbysG89MV/ZjMlXMA7y261AOZZjeghGXh2
buGvUDkwk+klBa1GegvOkLxl+XtGj+2jjjWInFFycVdH3bwiZbSUxyWP3RvghqHstN5UX9Eu+N/j
gHdtNI6/mMVW/nidX6n7QhlPf/yw8lL+GnI2Y/b9d1RR9FmEVaVRMvZx21vpg8bPkCEFSIKNWoTs
Nr7gAWQCtD+PvTWbEv89JifKocdur6yOH+MuQiGYQmAPOnU5eohD+wN7wJl1N4GIjudL2ZdXshGF
S/iS7kMggmdfSc5qQB4kiJoRdT0aeUW+vj0UhXuKp5o9XI7JxkWxeqVizUa93hgvSKkd/8CR/g9s
pvaJsS1MoYEYVh0BzcDSbRig/wT5YjKInA11NMwN9eRoT9i6RnFfvMZoQ2/UwIfsYYbFazj2HiyK
IDhB+BUPo9f13mbSxZcwn6Av9N5fOQLAo6e7P0LsXWZ/lfQxBBLKUjk+gdggz6STq6xMdUTKgqJp
7qG/ESdOebVGXCd1gXuZrNLFrhuvLbN3FpZhsl8nFQn9oRCAH1Byt3Fs+hUjbsITWH2LBEbq9uSN
9zhB089tbG0nBqR8wXkN78XopOc0jNPZlB9Jgq+Cebd7r0b70RPKcRS0hKMam94UT0Wf64g/KqgY
YUJzg4Xf7eoRy+zR3zsIJNyDsixPpIXsZe/nHL7L9pUnrXwYhusfwUWR+iaYfz+AsEHAUg/WYezS
X32eituotzVVbq4ydfaBna/6eez9yjV3baX9ZY2esFe+ZzdHqPw7MR+yHcfS1q3pcY6p0PPtfbJW
+lz5i//ZTVztz9lCeL+7HK/1Z/nZaRrLpe+gJjPG5ffectpvmVl/J4PUfusZkRfzSKaSLIf+UFC3
s34mmhqd/KDtHn2zTqHC1dMyAkKMJOFwcothZPUPmJzH///ndMZDFzmw3TybEdLvjylIdNKr4JuR
xvjEBMuzIkb/eTZulU9eWYB/W2fqPUQy8TpNWbArrb479DA+TrzlJN6GQH9IU0NfKoMTvBWa+p1E
YftXD4kN54XvBoRBLS7zS2or2UVeRRVeKnZzEhF5mzaMUd5vJ7xXZM1diXL0ppDv3ZbadOxc/ikN
fdsxbvQ3soL4C4F6vWQCkpEvdGsTWJ3xiFI8urpl3P6lNoh0+vG/vL6f+Il8LXwVtqbNLHxHQxTj
E7A6G6aCXz4F3Ye1iFb4gAih3zuL2UPpZmjZq671zcGvxquqIRdgUiOcDcwRMWB5/Fagt72XY7IJ
iG6vWWTWK7fAjO1jYghsVJE7k12hVfT84E5iuGkaomOjwXM/BPWaYyCpCxPK8wgPealEVnrJTPRn
5JXSo370PlYn6b9Q18XMQ/jHs2ECY7cBsduqAFMppTP+4MN2YYDHrJEjloUOOqHJkO55A+1l43Vk
gZ0i3QsDFa0m1fXnhB/s8yzqxojiTM4zEDFvT/LWe+hLdLbHIA1WsiubGnVXpLi0cQtmxcPJTRJm
/bsn+u7kTDiY97qCwncYbakchG/TIMwNCfNwbxd5+ATB7AtJ3w5LdBwQ6yzJ7i1yYgc8+Uyk+pz8
Su7vyTJQ8vKq3EJXh1hWpsRlVwazH7MyufnR5UcI/0WKRv+kRcOjJXhUQGHMejsgpu1PkgAcBp0k
83L0zxGYcKNYv9pz4xdCu3p8mwvUH+vtx0STBrgmYJC5pgx2QRumfpQNZ41iEYygxADkN49BDMII
2JQNHrxUC8Cq5gbxA+8aE6wcMdr8Tv2tuTqssZ0Os8zvBDVG293Z2SCunZrtC9OdUcg0edM845mg
nsmKeo+R6rfrCqXrjYXVJILc9i89bRxkFbLoIRhwu+W/8QglCziV2qdb0gT2zXKw9dT0dHjtHfPn
qCjeqnGMat129YT5afutQZTyWo+RuMori0rogiBTg8huhEezUYZ13FfdFx3nJ0ix6Q/SNx1Aqmrh
K61zgZtWXLFcI5pvbO9rgDLYQjN95Zb5TnlGlQJo6jyRmVgEBnbyaAm1P/K+g9LzG+8r+Iojp2tE
gMPhS1Nm6rEjy7Kz9bw+DarjbfPeis+BBnu6KCwcm8zO2mRZEa5awwhOSKCWW07E5nrIXP/VtQp3
WQ6xi7sJ3doN+P306trNPUUDEmtGL1ndOzeEzV14i+wZVlR6V6tS3nvUdEYkP4BijP5c0SH1N+Yu
PLmhVbZwyaqoufEdNbdGQYRSsZoIiv6gUabAd2PdGgnRWa48EMDnj7JxOoKn0MrVAwZzxaPtKs0h
AzeOp1WTE0RU8T6zASOpbNEHpyw3far1+TbpwnLVJFm/tGOSS07thT81XnavUZ23qIlxMfeSFYa5
9qOmmwidm/E1fcy0SbkgxvBSz6sDoY1yibropQgjehnKxfNcaphfSt5qIQ+x8JO7vYWL9XtXIBvm
rLVee0ZRIniDG1Cu4J3B8VSycG/1zrTDoNS5Kj3LhxEYoKjMPN+nsuACVrox0wvW0eT1UCbBbP3S
OGZ8rlBzuFp1Od4Q+gtSYd8SLbRvIyHNbZq6RzGiRqKm3kmmtjI/+hm5cbb33f4oK38f9T5h4xXS
2hjpGBqWlF4w4nFSKNPSBRq/dzkanrUKSm0eOdk97Vg3cY81X6MGVykLVdqfo2/CSMMm8f/fw2Ei
fV6oBUESxHJEwNSZzv1pQZlCK257FYXEvMP/0NfQcsSHrVAXtdeEF9moFUbgpmLg7ssQy3hwJJMS
7L3CzV9KbIOyKmsekdpTngGy+FQ71so0muxY00PEseXNicZqZ6QpDvWya7F6CHfOnBarMRnsndKA
frPb8MlRU+UGqNh9VEd1Y+Pk/ji6wdnE//nQD267S9vOuoSWFWCt1GtPkYcJkkth20mN+gsQ+5+N
qiY/fM05kjrN8E7DGRvwuUEOBd8/0bpY+ZX63odCsfTh8cabflIgpKceyBp0QZwG5AdpQ+/SjUT3
ZJ7rVsWuIJlT3CncfFDiQBTeB5s2RMfDs3dkYgfct53GRiuuc9dxXQXXj2Yo3Cvpqpo3aEjOgI63
VQEqXkG9FkPsZNy4Y5s+TEYPoSLsXLIBuMaaQZmePxrXhb4LcErRjpgG6d/HsAJpZCvmqrVEvEkM
4WOFi0HZUTaFEwJEq/C7agrVOsVj+buRXQH3ZvGOMg1Tc6M0Bl+lEeCm7vn9rndK7alIPHejKygR
uy01G882b5Txil2Pc9pqipzV//8g6tp/RZOWamh4URNKGrrmSoWNPyOGzhW9FWX58i0ZxuA8FX33
ipr4Ik2b9rmOlfzWDsWrHE5Tz14j+3YbQgzgZLyddWxGsuvoJdtJrBEs+fYpzQfvr8aL942WTF8j
7NMgHtTjrUe0ZjeBXtzjr2ZedQjChBuKtc6mAg2LVHG0DfWRYg93bofS+helQ3d1iwDJeJL4GwnZ
0QCGLL3RcTcSxsNyQmFAaP7aj7egIh0sqeoo1yBNcFIjYDI2WYH7jF7q/tHL8uA4DQbeCoHf8BdU
qEBERvyl1aLxB2/aKfJ69VdTK0sSii4P8GPc1QDxGzNZos/KymBG8yM1rw6m9pJDbDsVrCILd3SN
O3yndVS79vW95yvqLla9cJn3hXkva6PaaEr+DUUr62Q03e9mqGKxT+psN5havVa7doc3VbJLiHLX
dqN228ozqxUkGDahMFC3765lcxeVzzV+3uZTgrWtEXX2c1b7wQkh7hF3A7v4EoD/hcanWWeV4BuW
xhy52im1iIJU4S2fbQykWil8d1aGXo+OKja+cH0SlJBx8qsrJfyJRQNEfMRq7iKq+123k8gB1pqY
3/7ZmMMzvNA110qeWU6SLaKPnEDBkx+wqGzWsT3534T+pHlm+z0pa/xR9DMuRweYINOrUWNC7LDM
7I0qNR+KHPdlOx/jezxpN3wjoqOYG3klG79I0UsX0RprKsZ1IMfE3Pe0aOKZrGc/2GO9+pSB4O3v
kBtpOdc25TGbm75B7F125ZXr21/LMq5ehb8zVMX/K5rsg07Oxx0L9YpKbHytch1Bh8Fj07bLQ+23
5VEqxpcuZqkL7OjrFaA3POhGkQUriG31Mu19Bm04EFWTrcuk1xAq5fdZA6fG+yVXob+LPtraSUco
9d52etzuncq6xqru7y1dxwkID5YDMeGABIc/voYpf26gVvmuaKbhFfvan6IIqqtwguIlB1Qe4tFm
QR85OnmC93Wq1heA3PopRg1ptfuXNeSfAinzuUu1hYHjOadS2zXdTycv1MQ0H9ecbOn4yl+Bwt+2
h2twHrDVxRmkERiyMhb0GpX5cZ5BTQ0k1XiBhxWcChs/TAd9GHPIsZBEaKrE2ighMRq18c5NariX
tvFvCx/rxecd2EIv0XFdR3N0w/6vHRiOa0reG7apXqMkIczuXtjTeJAxvOO1+jUtg+7a/ZAD1K/r
o+ZXt8KdnEds/PrEtchN0wnZRJbpqKZ7C1jIY1JX4d6horSUsx0b6t3tXylssNk7sdMuOLWRlTV1
/zpBRkNGd7gg3Oif0iZUvIXpKSgsOF86VM93ESyGpyxovC2VPkqgaJ7eh7jk88gComRuty8JhncU
IRcqburYIyfWM5hN+63FBwTJrXB8MJA83PSNC4fMobD5rLjmt2Fmu/geFFSUCkI1uhsldijkpPFx
7Z36Dqbz+1gCU7B6fa3VZJ5IUo+U1GJdvdRtAQTSg9yrV+pFDslGLzIEOetq55Ut4k89f/Vji9YB
5r22j39KRz1Q1MP3bMLtXdYa057vyldb3IHm2LobpnBfkSZcvofaKin5ljKMqar9fgQDA62y7Z+n
vn116sb6gQnr4wQV7cUIkEYwC609cJShUNr4TrUIcFradVUyWAuTyscV78NDUojwX/T/jH8qj81P
v6tRu0EdiL8ZIoWfIrmwJq8ViYRaeeno2zKtwqtsXKGh7mjFAFct7CoE3rVXOTbCPmsDlHFYpFnq
qBw4p/dLj+duB9P3QY5VSuycUk8DV+QCpd2zhXePMBmjVVcr4tT7rnlVYbUutHaKvmrpJVJi/YCK
iX6YAg3Le9nXKfP8m0Dkf6cZ5kQLkr06YmsWrqufUlAwxnrfxgtmyYEdNY9Kna02gNUeEcb93RSV
jbdOJ8aVx8O9NuLa3vl2F77FnXXGcDA8TzzDK8TmqAbEMYUAz8hma66yXWpQu66JT21IifBLChUW
FtSrcUgIR/3aYMhXhiy3Zf6tUIdx3SPPtHc7p8LECtYP7OFp58eaBu8X5bU6aRFHsiexwZk0AfhQ
Zzc0wjGWtxJgTaOe3gI1IL8/dcnFauslchRfC7yIF5MwqnvdKtNK+/sK6/J2P8biZ8+Lei5LTInL
sRheXDEOh3CG+nOEHF4Eeg8rAtsQIVJojzjsaatex6eh0cKJH910qbUNOcfBVfWL46q60PTYfxR6
rdwnv/qaiTJDxsRU7jqCTgcCdY5Osjs3edU/af5eqXyQQmVp7uWRjU3nWhjZcABZZp2yAqzuYsqV
Q+iN7VEt2ho9wz7dyWpsF+fKuZ9y3Dowsilsu9tpViJela55Ua0WkGRpl+uPWvKn0rKO2dyBTP26
HHv3G+COWxzo8S+sjJYFyv3YQgcH00cuF9UiBGCgQMyWKMaxtw1su4JerME3JqtMU0eiPMEeOCMu
+jDVl6Uf+GuJrviEuJCzvVjoQLpm9xCrs5WDbRdKhpZtDVq2c1DARhfqrATd7PrKlWwcdGDCamiO
H+N1SgYQ1jG2tPEAMbtO22swwGNTM9Ts4bwJAXrKeRf0+Ieex5/qD59EClkqbFMHfUn5gEzwLCTM
lvRHrA21wzHHaUiWVR5p2I7m0V9S3GGQ0g+zCISUfZDdYuRo0gsqphZGeFFQTNfBS0YCsBKMHLa4
akQiMSowF5BddBGviPBpdy12u2scxckiY7u4hIb4RQSvX0MVXl2jKM7WVifTQrQ85VTvOWssE/3X
piGkt8opeqAQam3Gqhw2sHazQ9GS2kWarbsg+v5go8U8C7V1FzkOCJdKWIrIpISMuxOwsQhvl9UH
jPwDS67FwLtRo2kXnm33934K9XOLkoJpIPtS6p3Yho0b9AvV87FgKbS3QKXarcHRRPLd+wHlpSeZ
ymsd5M6PxE3iM9472hO0C2fZgGbcycmpM72N2mB0pBxDN3MOg6/YBxg0SGTLPnm3ZFPa2RfZgzee
r4SFWbp85nwJKrLavtqMeq2CuoLYFk39+NXOkrdWVf8tDpHB0Z8ZWzhyLKKmwd+HwpP4nLYmZTJ6
aKAnSxT4ETrXEN9ENsXDd8DP76avZfcOi6jUq+LLNA/1mpselTZbY152QMUtu+UTfgALJM0hWugB
BsuCg3ODYcOhcVJWgMR4QPSjeqwhyKxB586q/nSNJEKXMa3ug4Npjl6dM5Q/VQxyjOCizk2NBjF6
sdj+EYuQzM1Mi5SJ496wqHlLkxY5q7mnApG/oZFXLINJjbZmzXZud6weH5QZSPfujmzdi6TShHmD
s1sLtA8BLnOrjz0GoDOOtrSEwWvN6UqW6Scnf3BgHz9YtnXzp0r9zSPxLX3Ye6HTn0JTDR6TPv8K
Zr9472lOA9yzhoshJ0l8iD3q2Yh7lsOse5o+ySbhwI5ho16S9tOSAAuzESBPOZaQvJFvCwwOC3Ne
gATIcFFEpkHNpTo9OFV81ougXadteUfDY91LSuvI4vEvcYU1xw2fHwzLmMPTd8G/T3HF/xF2Xstx
K9m2/SJEwCaA1/KexaLnC4KkJHjv8fV3ILn7sFv3RJ+XbGSiqN6iSCBzrTnH9OnMkA1bIhpzk8fW
yt9KeGOwYdr6zmDrtqxzrTvw8lyaBJL9drToM8/c4rlqNSShGg4gBEuCLIKcaM2mDJ4o9Z5wD+0n
TSte8soVy4YEr3ulJhQ9CRzB5yNJ1r15fqM9O7W2LkSUP3Byth9rCHqarajPg1eFpzht7avTkZHl
jmgqpCdW6dkGZ2Om7vrZE2un0PwqXfsDXjVe4LxXnqchCveTVTZkMGvKM6aP86Qn/cKdgv5YRFFw
o1IdYBPSpo9U5XWl9PETSOPqaSh+51TTXgEhUKSZmgeNv/wqInthW83Fyp+pfBHKaVu13hYXaPD7
v592KIv8fd4RuJxM1dXJJDFNfib/Ou+0sV2mdjmjGB1kRGOErZOmCwXM2rvIoRUFAUsVgco/a/Iq
0FxrkxeFybO/+NeXWKVZXUiY/vlsoeveRfUy0nE7fq+mwvwzhiqJvFMTBWv0XhnbhTDZ+VgQ4CR0
NeAPs+sXDU5KVDcswpBNtlNMdLOaB8qlEXFCdQXGjJwqFLAv8irXQ2M/RNYjAXPAXmlu/XOj1in1
2D6CMHnDbAkcyigPrAIokWZtRBevt6x7y+j1a1E85jqvtGVuxekJ6uGDvEdzQ9zzA9zuKFRidaDF
xhmjMkltL/tHIUDrqFhVknVj+WDQw/QYNoO4MwoHPY2LMI0t0bZNM/t7Sd6EmVJt9JAssUKbsDbJ
xYAMh6o9ZCU526lTtPuKCLtNX9ba+0jyHbu1DwI4U3ScuXVIzVZnixX8DrPJ+oBU0ywy+I87NbNB
wvG3mEVTq0HNSqyFbfhkDc2D3pr2pdHs8KmtSXALmlgc5c0Qc/0yFhFJYfPdoLaxg5mV2Mhpb4Nz
1UTgruRUDL4GTBJigqEW9rFMULbmiWJeB8G/XRZF/U6HnaqQMK1Y69Bz1zU5u+4zRkyY2ElSki3Q
FfgM8zRLNvLye3XS7HSPzuqPJ6YOm1/ZoRYc4fRPhbB5AnjqIcmjkVIxmTmOqwYrOUWkqd4y+yQn
FHjHh8CM3036YFsglEYxNke6mNqRRw6CPNuzP9HRmRt9zIqTFnr5vw1yLUg/qLI4jzbdzYsFyUWr
fe8Z0YvYB3So4KZM7nM6hsraqEHNyWkZGjhN4x6B9nzXhfukdgAtq5g0Q4YAvedhVHtILSVqGbt/
yptc3VBVElvUCw5Rny9mqDYzP6Lbp6QCrA3Yt29DH12rqsV5oe5HJaLTG6nJDhlWwe9lFkbrcSB7
ukyabpl1yXhHV1JdkDJD3nmmLip8VP6iG7JjPHrVh0oQ4iIPCuehSp16zhSsFkMzTLvKsrq3KX7q
nSx+jd2B3RLHpZVcFqL8A0JBu3pRGl8bDYdpM38cRUW9ImtZO3hImUkKahaaqDuqSVZLrIROBlkr
/jSTm2H9GrIbuz9nVWkjvstiNM4F8CRbNOkDZ3UCeyL3GroWSOuiDjd9ZwZrf56iQ7Vv2SbHVSa3
47zJMRuE/W8OoQ/2NOQfwNhhY1Yk4hBTSVKI7bUnvzLhPtUaR+c6uqAuse7kMNlhTWC8/hhSB7pr
LK286/pALMjGiQm9cPLxiMZsDmMe33s9xcjj5VG0IrnFPyUqmy3F21ppG936PoxuelnyHTaNeC+n
8kaEiEPLAEASuke6kKNh3OhdtUCbmiEyqdEgWPV0sBoP6mlrgAv083BL3hf9OzUoXvSQ6FuOwxH5
J5+6b+w5GRWvTUQOLWo8/2gHGOlbh4h2z1CmLySXY0fkupL6yREUzrX3hHrt5oNbI36BAW9Xztyn
6hqluIQB8BgTOwNqyKK8sHMvLvKGHIyW5BgBQHHTt96KQsWpGwPjMYmGBI8hfUtbder3zqpuXZMM
D0OcUJ3Vew+/I+tjkb8putqv69IXZHvm0c2hAbqBauYtK80JoVCxxrkV10cwlruEUvcCeUW7dWgL
IofUjL3b219yRnj8aSSZ+L7ugys4Wfc3rLZtQG/rA2SNvYiJ4jAE6q8LJFPiXjT1NNrt3dQTCur0
xQ31Trz1jTlXJYw4RrlesSZJ1HpqoiKkzWLnf2iQUYz4M/V1RAxXqz5lelKvAXFhBVUrceB9TvCi
aRsbM+6hVrT8qAxReSevXCONd+Rz+Su10uoblWUFAyA5jkTHu9QAhvHVSKi0l7XhfwaBuDqjkt8S
nnfkfH5OUOR/52b9ayzV5JnHG76EvojOqt7nx4jadul3sx0+sA7BNFnfV51dWOrur0VA6ls8X/Fu
cq0Pt6JTPxrkQHWGplwNMHX9PJNLVq1/9A3sDzkbldRaU7Ug5aTRlQeXKvupMJ33ydL926Qr2p1B
1FAc6v67DUNopZHCfSw0v3lCUrpT0jh476sUs61BrDDkhTCP62e+iyfXaItPYeNsLkO3veta7Pp0
iNNVAyLtk7M3ey/P3hPJYa61MtIvoe2efNcYDnIWDSZhFxaSjCZ35ohlU9nR4TVfldRY1W47PAVl
VJ4TVbcXRH+XLwjcV4VPGBAcngc5kAHwTJ+kOMsZzsKJPoWwAMOWD+MwqrtoCvJTpLbZCUlh9n0V
FgTtLPBZnvpJIMfNKXC2Qb5hExYtiOVKTlqC90cOcprxVq8XP3N5Zea9QXA9SN+/bsipkfYdeQed
pqyMQkFXghcaCoBVbRUPRvKijQ2iX9zxU2Fbu/+eVTVLVqMjlyuGlStIEJP1RWUaBA9PprL6WGJL
xytfs5mapWPufFdOZfVRTrFd/H8fxiUerUynCraJ7p9y3zTffN0HFoWhbdfbtvFGKZWfQt4njlMu
4lk6nCi1Sd8WPr0uqrha+vEudmoexbPfv1HTelniadjJ6dgE/gFqjLVIOI5XMN2vBYCtXdFP7X4q
fIKqEHHs5etR76YXiYOXYHj0yv0FkcFwGSN8vH7lHV03SSiYNGDjlUFYe0ix91R8wl1ikNQM56V6
SRvxqBtNf22IpnmyyZ4xaLq+gAzUzkh8kCOEQ3KHGOxOFCXqBPoz3lESq+QggVa95kNkR9BgqXck
Q2v3UeK/DK0dv0ECNNemHnc7OY3zbslfq3tOXG+pF3rDzgQiwwoOtLPFLnH5ngZ6ZxyTxNWPig+K
YAhCZOLEvp2NeZBXLj3hTht7klhZQoehk/czXwq3Mja24SaLNFLSXRlYj1Zh4lcZaE0R/Uqw3yLz
xxlRP1ceoUqs2kAhDHAuQbtmoPAkGp3D98/EPKUx5BzkT4y8K6c/dyEQ497rahPdWdM+ovadgynt
bBPOU9qE0aGA/I1yjmk8hPXVIyiFY/VSUMcn2BmiJVzufk9WX7PISfq5KNiuaddAP69JuXsPG+9+
ciKDFvpqamd7f6AoVx7h+Xvlm/4cET8+6Fk7rvPYdYhQ08W2oQC0TMLghg082vazH84z3dThRT/Z
m9rU2x35Knu78foTjv36KkoF6yhbMJhsFILYNqzDXCNIYR6G1Pev3hAv47HjvBdGCsA0ww+plKE/
1xJ92naWjcikhECQdHWK+5yEmczK7bu4M3REnkp/nQBErGnb+xutDSDnzzyGEiHEsqtJlpBTObBT
G1E6qHc/S0rr3hwrz3eK8KNT5qOpH9AsAEeLFRJzjfDUz4O8kgO4FaDJyUxTTPzpoNTGeADBOB5+
pnJNDj9r8iPfa9GrbTmUUSacvppvHzXKooQ7p6eutYL3zk6pAVR9ve8tM3ptw2zRFlXwLnwj38Y8
37e2F4LHS+1LNoWkBviRtxvbrL8G09izNdUJuO+GOZeUNTkIA2SZcd8MTnnC0cQxh+Nt3HE2KnyI
AwtsHP6dF9oHdv8rYaSwk2JIocvI0MsDvdlWW8vL73looc6QlymOsRUcEm1uBsbjzGK7b9J2uoa9
KZ6TG0Y09Rk/WQPsnkqp2nnLVmTjS0z1cN+RHLTWZtvvlBASnKsNUgATfAxw57UJyPwlEBnZs+SW
OF5RrsI4ILUn+leWibwhh/++pvf901B17SbB+8dTNIiNg1e0SAtMm01x3h8ArGTmOkhFf0gTOp+o
Bkt+4QfHuBSjsE99q53D3vXoiuZgrKOiOcqhqNENyyu9y9HeeRnHGmi/yraL3KNqdtF6IM4ALk6/
qUfV2cda1N+LvEbZBEb8q1TaLfk54tVFYLDWo94/KlYu9iJpiLnFe/7QpYODAk2jkYha66EKa9bC
fBnY8Q3RdHGmQiGejJx/BPAGNzlzYVxXcTM8oIO1n+oBdEesZ4+kEvjbxmomtDNFu867sj/YimLd
yjj5XYHK+kg1aq2dBXA7jMLpGJexuWriPCGamROWNT9RVLVt1ulEz4XNs30v19ABhgShadEOWTq8
S9PzHwuri6C55u12pO+09dqLh7HkI/QQYHNaovddBR6asZo/14S9PQSqfSlncneU465kBzJMiXey
qLUtjbToVj9r8kY335VX8gaoe4Qyjdku5BrfCg/BAkEfxQAs2K798CNObGuRoja+q6vOvrSV4iys
+Qb5tn86A9a6MrSYaBUNB0s07/HkMLYOV7RYMpQMXAblsG4cP4AwQ38EJgFgfacnm4Si/MmcBznV
KIAeVGeW6lvvVqSJFyeB/9HYNGHlVNG7YU0Byd/J6WAX7zl8j2uvxeOj4/pruazWeoRvmaA5jD/2
izM246KLkXKElnHTh3hYtlDWXoJhjuBu1eKrpyPSD6keLIJ+jYYYaZRuFudhip0PooKrhZKW477G
vrCs/AJsZ+n/MwDL+ueqoZjHr3fPy3RSzF2gGfX35+RVJe/+2yUusHCdI+FaeGzR4GlcjRJe3MIV
EHmGvLd2pIdpV3MefMfAvxpbcN4Ecih1MMW6j9FNpKp1aqoA4f/gEfCeC0DrjWbezHmwSKDnRVAF
e/bk5k0UyCh909rIm/y3mncddeg9Pq38Lm+i/C6rOmQCERrA2Nx2upbcGXiZrinShyv/EEN3jUqn
u8orYWmwDIs83/6s8QOe7XW2/dQL/+PD+gQjbNB1tgrEw7VZa+6dafioCye5CZUyZzt20zJvi/F9
Xtf8PL2laSFOIQ6LpRbbg1wHQ+Cukc5pC4NmCZGHxGbnRV3sYyOx8LQ3t9j+nEhdbZaDU9/XoaNe
imjqHgn1GOhFVe4Oql33mDhevO29xFhFuBoea/ri2LP2dtsWKx5SzUs6t0ibkdKorhF+Cpv0rc7R
mI6OQ7C9/iY/1AG5P0cOYjc5rQOj3hr6ALNj/ppGFCCiErM5fv+JZrVriiR6aEfgNE7a/kYg1B5+
BsX6j2nfB91Bjfp//4hcS6ODoaTjfajRkld9I+WVhZrBmoei5axCc0KfUvWmFZq+RTU+guXUiFGp
KIIgPSCZI2uChSLURU+6wO+yzF4Evoo39N8hibSVeJgIy1y7velewL0FnFoa85BnZEgmoiYpz0CP
By+dZ1fYe8c+BmMkp4NA+tyEiCliTuuI0O0arEvsHMPEhhgwD4GP1KYWOoAGUYv7pKEhxsnF/tAT
DKt+7Dn3XW+V2HwaewVNOnwZ4npvzLX0Plj3lMF+ZcRiIbfu3PtWm53dZti9EuewbSZT+dQTtgcB
u+RrUzqXjpocbNamofU+gTKSl/REm0M/Rt0aR6Kx8A1fubU63LeOro2ckStYb9OejomcGnP7Nwih
ttXizNFPY78+2gR0FdGnalntgaazd5WDo3M0MEwn2NYJ3/yQ+st6EiPgKK31npuaDQM7v/A10TQU
J4gY34aS2MmI3dl7qhIUQOU6rspbDU4UYDSDvLKbnn2DvHTlpbwVx/4O54fY2oOtIPqsYt5L8hKp
fHcQSu3zQp7afBuUxjGdpsvgULtthjm8OY51+wAS8p9O3PfUc+sdNibrGFFHMh13vEcdON7bvVMA
M8iOcibXjTqKj3RC3mEAYHCaBHB3CH4kgcxfJT8y9V29zQdOUUUGHsHoJvHoRU+pkucRmLCra/mU
h1rFWVN1Mn+jkruoUeEQ+pt+9p0bv3tj0RAjbImV01X+2a93eV2IN7KR1W1T2Mk2HYX2znljpozo
AVu80Y/HbW2OypvgeONTHuFf8t7yamtrtMa7xH01MwysnsFfP1O5NqjVS6850U7O5CA/IT8rp4Sf
jlu+419yJtfJuc8XFXi+Xdfq/gLBuf+7KbJVZTjTB64WAGFIHu7MwhX7it9atBfmRvYCmlc6CSRm
z30BEk54MM9XtfZIP7y8/KzI5S4jZbDHMCZncqjQp1g84yy0VMhVRbNuMWtvZr7Go5Uq4Q7/brby
y4HSbzfVR4/Idohp3PU8v7yrDO1O3uyMzHkQGPnpI3W0r2gGu0p8/31vgqRAIB37ifn/JQFTt4xb
H3gexPa9H1njWirt5CCFd+3/qO9aREpb36nPcv1biyc/ByLmtXFD9IoVqSahIYKNbHDIoaeEc4G5
o2wtyNXfnQ+59vORWTmHwPLy17IOeGQxNUG7/esGUYzDJo1HUufmP5zAk+g49mqJKobMyCpJh8cp
zQlHRKj5gomLV/0wTe++G70WmJe/9EzZ66HofQKxakwTHCHI+DoHEF9B8unjRt1UtmV/8kgAcIow
6Knkx2CN1l69xFCrgD3m9d7rdffs4jxYk1yWPlQ+mo94tGAe1VVJZNJMyoKxrGyEQQfGRoR6lrfl
DXkl1+jiPaklKly5PmUjEJ8AGuIAIPQih64cN7WldUfUC5f/3mSTmWr/0fx0Cc4VjnDosRmWbvzd
/ExFQagBmTxd4Sxjg+hCrC3Z4YfSDEoZ5z8PateJL4GHvMHwis/GE0jL2iC5WpEJTlEhhkbeCADw
Wo3/wf9adB9XdadUJ60WzdkoecmIzPDfDaWHUSWqX1Q/UVwocYJI0083qmao2aZNyCiaKnupJGq0
V4pGXONOWcWO3p4ge1GZb6gW0bvJULk147QMI2JQmxBJsuvZ9Q71wnho+MU8jmUHuYdH1Z0SEl2u
pem440ufw7nEFs8DbZbse6hE122bzHtSuk77P2Rczt99TGLd1TneFHMT215sTf8pR/GraJrRi96i
7hJx/rcmJmedLYAt4/hva5RInKU33Hk24SBAnkGFaROcag9/57cUfARbPRgEA+BNNQ/UGJxljTcL
XbRTP/oT24fRb8d9aBfmjIiJsMf59a/0o3KV4Bf51vmy1rXiGrgYclTTB64Kk+2xyOGUqo1ys4iv
9TaKr7/Q29ROcpgSRz0ZfGtOqSOGIyXx6WILq74NGuRRpAs4YuepHHLMiIvgYiowhjpQMM8VJn+k
a/6bP7nGDhdgtzaqOnij1vMlpli7Bm0Ssvtp3uWnOLnp6yg0mmWWViAQUjpAWZgO99inkAT7df+r
+kDh4GyQUo1ICqrggQ7JgpST7l7OdL2qNsDmjNVEV/3B01r//r//4hi2bf2lG8BUgs6IgEDLVHUs
on91p6FFB/44lGSETJc2CLIvGB8ZYtRmuMNgpR/9vCHYyab7UNdkMsyfUIPoC+XTKimdYpWGqrcO
W7fGDm/vpN5AB6K5103tHe18l61bd7jXrCVkSv1e4hns0aVt5du/Q7fBVG+IFwItgaspIw7qgJ7+
T2t7tHoyR/ze2qQd7mNLINmekspYaWaysUqjO1pD4u2DTGu2M42HvyDPqL4/o368/3HqD4IKGvp0
ZFzKQGq9BrR54XRQkG339IM/6ujXDYsxwh2UWOOVLtDRj0uk33TLA4RP4lgEAR1VfwU9taYcQLtz
dBJCburwbPeTdkyaHGi+0ZykuAgO7800K+0ilUec95Ml5u6jHUHrQ342Ykf712DOyaLeR8a79knL
Z5RMG7unKI60neqjDkb4Y91RYzfvys6A0t0nRznrHZWmkaX4+3AgpBSLmH4fs5nd6TzSd24j5iO9
LRai1sWvDIO6p698xXE5lrODL9UopIYzX+qKjXqMxl3hXh1Pc+4IYIbPMl8ZYqhXlTDTVa1GBwpp
3kmUuf0UAmHCcJV257ZvxVMvml/lMPgXtsjiCXMOobbegDlJdHuVths1fr2+JRkyQtKBxw37vWqV
FIW1smdsiZNVwVlMbEkLvTymlqKftOmqJqHA1URnvSI4buVlZrqTvXTKZMGmNWxlLe9CBclAIzTp
Kk0drDJ2/zzwooSWZGJpFBF5myioe85LS/j9+SZDN3gX5Q6xSGMbV1vMCN3iey5vjb1/SJpaE1uz
83sS0XimbM2pOwQBQUyzfk2mxVHjLNwjPgDtxllfu42KaaxyIjj4T6BdLoeW99KQ9uNVztiY60ie
U9L8OGn1fghxcGz/tGpSH4OuM29xiXnF9aPnSieJw8jdaVXqHUaE3G+WfjKCN8yUu5wezVMZe2vB
T/sHOmYC39PeAdFUGvc0OWN2sl7/obkIYwhIGbKyOpnF1J6gvUep3+CIci3IpfOSmAfiF1teJ2a5
VJ2oWnmmPhIaqJULhTcCzed56tQ2jpju3fZRvofkJRwEf3C6kHPVazmtji3JPDxvU7dQ24URW+fB
E19ok6znMOQh3hRmxe8M08RWH02tja5qfDCAcp4kVAyHVHlOXZrbUQ4H5Ac0FnXGndro7bYxJmBi
1QTULAEARpjAfCkyLz0M41WG1tiz4iEU/P3kVEbVVBqaFsjb2jpOVciN+fAB0wvRb2UlD2X2e7RS
fplVHCXN8KvywD2ihas3bV0rX15W/CEby70rTKSMnleXRFaC8ZPExiocxpNRmL81h3PlkkR1xdtp
tV1eNZmqMI43Ocv7kdArRw/O30b8uqrACDV6sRvEsFXVyTtUOoGLC3n5M6Ql1nBEvt5GWJmxx8/q
rHWqcR/tkWOT9uHHjzDT24fYIm6Ig8oAOQQy2NxP2ET82K0TRTFPVYGryLZDbxWMtXkac9080ZoC
r5VHVru3I2eHuqwjk2LOnBxHj9Owxut7njnzIK/kEAV6uEYP4C6+5Y+NOyUH0LjgsmCelcTqAWsr
4hX9muScm3YIWL/ku5n46dluYCPKG/JKrslpIioiUUll4+/Gl6nzIK+oATpLv+5K9ESZfiZSwt+2
tNf5qea8v+CEg01kCGP9BEfU83R/B8n6mvp9TLONgSrYtfMLwU+0N3ynhXRKgeg/nYrzaLn+czaV
7FVJEWlTw9oLSj1w8mPzVAfUrGLHTM8xJ5CTX586M8zOWV8IyAbzehUMdo8RE9+zV1JUkYsGzZ5l
kJISbo05yLm+59Sduv2VovE9xFNY63OPL9Or25iqHomfLGVV+tt3bGdbmvZbiZdvy/41zlZq37an
IDLbkxIycOxPNpHt+xESXxdEZjYtUxSeDxJQMc8Go8gevjdYzfh9zwJd84Qd93vGkWtYkxFprpyg
C8+R+fVNyquyJDxXLs7I31Gf2G/hEGpbTkfWRk71EYf24FbPveEgGpOeTLNMpnMlcn3NL6aP27I0
D1qLXiWAODITeT8iBYJG1VnhZZioeMV9n6HY5IaT8kzRy1WrlNlBpL1L+MHPJVp9HutW+tIh8TvY
pese5JXaqO5BDmwe/7mSN6K0Oyp13YL7aHhO1aobLPvBITogxz24j7zoq6ZhTNrf1pZ8kLC2xj1y
lke110JnO+Jyo8D/ViLk2RFZKy645q3voURvs/N1648JW+CimR12dHk3qc0LnZz68PNZ7GR8pP9K
lPegi4ytpomvQAsr66C0TIVifAUIzMYFarNk62vxb7kDkC9/eZWj3z+qYfLc+NWMxh/ShyLOeVc0
0GPltLeNhkRTNVwI0ya4c+iTr1Cb6GbV/Bx4qLn2YgDVllfZWeN35EyEkfF9BacNl5JeU+Es9KNG
T2j7TUarElqpmnMRlNgMq7C9Yx1Y91gpH82OIzd4J4awMGmZNLwPmSmRGt8XZGBcQ9Dh/7Mir7DF
Qm+pmrvvL2a3tg110Bi4+oqHMe8+3aFyXjQvwO2WKAc5xPPVGHYvThANdzZpUvuytRMOsCXuCu8j
GlTvI51QnGZIFwH1JsO9GDuime3E+5iq5k9c9BccS/kt7yZnwR4Fwz7Fju8re76izuC/yCt5N46j
klxb2tr/y2fl2s+fxMGOePuk2EMwW6dmpJ0LitnnBI32WU4jIOsEsiQvo+2gqpkHjwPe91VC3vWW
Ksmbhm/6ZMyD/AQFv/qIsHmdV0QVl1GsnWx3rGhejcHOUq3xbhzVkTNj7D97vZMv9KEavyyzWifj
RDiYo3YH08x2hDiEn7YJc3Wyx+jR6ooJ/FVsLTPa2veWVZyrUDgvOKphyA6DfoxFXVwyhxhn4uVc
cfD7HJOM7/dnCt3NFn0j/KYibGixD/Ym1oaviViHsxtjhY8bvfrISXgBD+I/dWGiUV/TrbWRlOCy
zOgxKBQ2YSqBydLoaaYCRGKG2EGaQOVdq6GpQVYI1DDbUVGgJN0ydseePYWnPSshO9XAUC+aV+nP
muutzLQCmZwP7a7CDgQCgn23M2+3ESgvwOjFBzmT6xQ5/7kprxoR7vy8I/p4/rxc+vnyn8826ocv
XPUAUMmBF0pTZgbjH+Vgz1d5lM5orfkSaS3E95ijqdn4xxTu23HSsQrLqbyin+DTAfb91ZxptIQY
a8cOhSEZbcHMpwp++eYP6r8GpfHBgNrVPd3a6t5KB2RnGFfSNC9vEUctmTkhkyaS1gC7PyUYFuz6
iC//n0FO2Yj1S88tEt4hKr0I3/wzlfz35ab5Xnto2SozjW8ctjkVBxHA216liOmmZ0m2jkzR0xt2
U6zV9LiCqLXWwjHxSJsG8T222Bd+OD5ZaUF6Z9Ku8kIzHsiLAE8Sw+9zkIDWNv0JO+JU3yfpIcUX
tbCEhlWBbbO+bB2IJ92c71lY9BATSrJ0i8vVNHXdUueMc1J8Y4BH2QzfV3JNTgmUMbegrD48S10X
Obkmphn9qeI4eCIeut80pdAORrdxbXt4srurxG7RzatIGgwf3Trfkfqi3JcWexQ7p8UmKVq+Hnxx
XFXux7r3zz/rVaB8/ny+Cem8oayk71hZD0FZIEIA5D6RDkhvrMRY1uvFq1mCeGsMQgSTusaETVub
NkWWPZKnya6yx7YbY7N6NNJhWPgZCIkhJYIknDGOTU+bRnOCp0axvnDlvoBTGF8TlzROhycWwaZp
+eCrqn5DgRdvh5KYF4cUyveyXkpitlx2JkPdEpq1gCxunt12tC+5iNqDqakXOfN91744WUjOmKIb
14IaQ6rrCJEV4lZUX32R00xG7HWB410URYv/lHF9CKci+IXK9NlrtfCDbTTdVEJpX/1Zhlen9vRE
OpO1tGonhiOTilUc5ojxUrdbpE395RZFcIsNshWdOGxfROZwaNTH8csc/O2QK3VAMeRPRo72H6Da
jyBTlTd95I/uDVIVgG83uwj3mYZN4M6IBijodkeEDfH1ndsqZzaU7SFu1XTrpL4CSSIQ+6T1zStK
6lM/eA1k2cq8dp0YVhTc/1jmFJ/l4HZZci765M0kgWkrlyoifkpL2RHL697I1vUPXaz1MHs1I1tm
CqQKt3bom5mhd7OmpD/mqfpHftgphnBjoqZda41YqKEafEbzSw8tZIHqb6qv9MZUevHAiod0go3e
V4+ZKop9nnHM4KDfrHJsklvbj1wqW0p6X4SjPRewPIChlX0IeCZu48KyiTQkrj0xIxeTRoiTEmLJ
p5aDyaZ14i9UvjO5kVu/3Kj+M07mb8pz41lRseL60Mz9jnippSMsfW1mRrDuPK2f8+/6m1I3l8AB
3C+XhFuaePJpMBNLv9PilkDDGSEgh0wvjh1bPVzrMd5ZStfOAvkuZ1m9jUMMtTS58ZSbN91TxKnM
40dClClKBzVpnpQrsaXRaSOqTN3KqYlG+r5UfslJ5hrrnMiHsxZSZOJfQnnkES+ZzN5rYZS/wVpm
XzDBD8JWpOdo5aT0qiApf9RdaK+gzqSnici4Swy1YAkUN30RbJwrPQFj56eTeg7nwRuShRvG4oE0
O+/Bd7XHNO6Nc+vDeclzU0E4eKIyMbwQypGeoJkUgEwr9dknt9xHEkak6mC+/lxFCHjpj1fFDcMU
nrHCgZM7Oac+AQNvCNrmQC+ASs43xsqlTdIeG9ol67xRwB+ijT36ppdtFSuyzvz4NsswVnlelnlz
UxV3h4+THoK9Jn0mQ69aao+NRds0i7JiI6fGDALJku4GThHrBSq3V8UyoE2Z/XguCD99MolQloGN
HVvmpZLa50GSdF03AjDUUpcqvUCHYmppPCYU6zGMsdfXdfbaeKRHESNdIAUV2aubWc0SmcR0dBu/
XyhFCKzR51fbUgVnJXpLj4aJf5YA92Dntk3HD9oMXMopEhhupNxHyKEOKBk0PLVB+26FxUKv+u6z
/398ndlyo8y2dZ+ICCBpbyXUy7Is974hyq4q+ibp4en/Aa696ztn7//cEGQiR7ksCTLXmnPMIsKx
jIZuo6mtoGlmTyvp+vFugGJwr9RZYqwaOpQbM7wPKjSwgGeVu+WgqJU/rdhqiX0yoMkeq0sLBPhx
OURuyUPdJRqiM6biUTNU/+gWSbFarvqjbK81njGzNRQvMpQKMB/FuVVpW9WB1foXCl13W1dWs9c1
MmIGjSg0jG4/1MiAKlhObBxj51ghLjqOyoB7UPj2RbRduoPdzQ7e7KiJhtVX33fmxVU0dAYadjZs
7+ODhT5sPcYWig6/21iT8PS+6s5uZ4aXMErDi18gpOt6EsCtTP+xzNORzU4Wns4Fr4+ULtxHU4PM
etnfdLla7RVW8NZOdEA93TTSNvUom1WbjYjSsICch/mwDP/bXO3vqRiHXg90d6MYyXj1Z3YdAsvg
FJvyKfO7P1NuR0oBMbqOcXj4LnmIqSo9Addm0/hu9aCadXuHmuq4iD3qrA0fWuh+i9hj0YQsqhHN
VEKqWf+SiDgYWnxy0O6XH3Ls2N77A57F75/KJrFFtoFpOq0+ywZYFwbI6LGD9H/MCwL9FjtfrrW9
h9dO7gq0m0twqIhFdpRRLD0IX/k57bG7zq3BpRkoxNzjWsZF4t/LKpNHP6zDK+1p6gomvhtnHi5z
bhSGVzCCGTagVOzDkJyu77kyE2cecLvlZfSgap4ysX8k0mNc21XQfYJTQBiuW28lrZ5tY1cVVX+q
r+ZcBEak+M9DrSNz0RRxnmr1K20M/5cKAToabixi3GMLeLGUmJUjjVXDKqVDpxoAW+hkYBZwz2E0
wkbVWq1b/R1nsGP49FmnZUqzkuYko9IzQXZ4sSZxQOKoeB9WfB3dnSEm0gL7GcaxcDmsqIyxCgeS
zQGYDiIxdOIchvSMlWNVsrQ5oYvCQmH16L6W8Z/TctlqGdN+KNnaxjFPIVRn/kuSuiFydMfdKE7q
vqDnonVoJcZhueqXyi9LtbXLYvjpOopOjJ6GQB1u0rX2wRDXF6sjSixx101tOzf+NtWjrOQcWgCc
tMnc6jEYO+cSpv5xOKuxY73KSqcIm2oZnhd69JPjrwItTN+W+Xkdt02myHnOLOvgyJdGquIzQra/
zq06BcSqu0fyGmO2bCNp6SaOLzK4f1qqdVO0wnjpBg0TJc9DtH9gZ/gjOFACXIhRxAr8UAeHCB/8
TiP0WDRVqvHUSKFtpxFbj9aT2rW81kgG8UpbC404RIzS1S+5hkJ85YpIxXVTz4w6izGh4dU+iMKH
1Em/lhgwH+emPibKa4RgbmMMyJESIdR9mPJEMfG0fiqGTsvCla9J49c71gjZPkNA9BwoBaHGdf6Z
ZZK/iB1PGO0K6+zWaeqJpNFWSdX0AL94pknhnyu3Hh4o0A3UAyBQmQF1k3lK72R9Nbo7QhngvI0/
BwTlK62X+mMug2HryD7nxp7vqiZGYpc2NDpsd+rgOJc5eYg9GUXz5HI50EznXCQkGmakY2yW2Ks4
NvPigC8rJd7W3SxxWcbYEmjlS39Nf1A7LgfHV1H9qpmpHrUho6mynC6X7H+/aBkGg8Y7ULcviU4L
PTdUeTcOmepZVT2uq15ikS4b6hpZjPZ4uVxbUqI9MfEBY6LQ2zjsvKRno1kNyvOiuRkrdTgouUlL
L5LKHx2OGFqKm/6unKcsFXQC6MVyZ88l+H4uwS9nWfM+jShR46VIXzhOe67xY0D5Ldl70kA8FPh+
1oFuiedUywmHoza3Lgflp9kV/i6KyCqg+B6sctMKT4qrZ+e/BxHT7+AVP6HUZNcgw0+kWFriBYNv
I1qZJ0lFWel1Y194ggTbb9QvQpb2HlMB8jPH9rff2YNFTRZAYf+WKgFgLnLbFc+4+H45TCL6Agvh
74Wm/ZnS5jNTc6x1Wn45yki03WxRLOpAnjorgIq0jC197YZF8qrYw0EPxuxrLMNx1nZ2D70eJsc4
6fItATL+8gqyH7HpJfqXFSKClEU+Pxqy+sGdt9N/55bhoAw12qHhz+uSpsy2dFLG45j/XnqbSaIO
67jmGW10rjwLnKUIsGY8Tzu6O62hypRHLnJgQm7ZF6gdhi+KZ8F80JBbrAuHe+8AA38NEKX4VHAw
xLIvflHk5F9o5fMEhYpNBiZmhc/snYLnrCs8stI6z2+b7Lwc3H+/Zf9t2LvKuJO6+ZxS9flHzvYS
dtuR5Uolpmq8WjxVwrVgEzbOkS1X9pW47a+28923vKUHrTh9ALkV4L7b9cm6KBDNWTDSV5bijEdV
hNNjksch+qAwW4d+Mz0uc12J4CYFipgqEj6s3SJxLT7Nkrhu8BjVVlWB2y8P2ynorjgW5M2Z+vaq
1MNuEAQsIzfLsamX/mrIKn+/PPN5X7v7+apjp8FJ1DzCXUh0j4Xd0cV0ozcXvvcB1H3rUWbWj4iQ
0U1yB91kWOp3S/3bJvPze/hdACci6B9Dn2zEfwyXnzU7uC19K14h7+J+mQ/LWeeIeJXGenKmOP5C
d3p6qG0ruUpztlV0fvCu5DNSKzXPvqaNd/ns16wTzX4HSu+ue1XRT03nRs9qkx0039eOJcrhXWl9
LHUZRx2e9NzJ7gOlZ5VjR+2ls7SKz10VfWpdi6FO1V9Us3V2xEaqO6117qZeAwg2p2ER9f0xRkN5
b3ea+TJJYpp9fpEsRxX6UNSqsTXLsT7hyP1THlqGMHHidd6Yb/HIBpVKHfkM88FR3Hy/zC1DPadA
4OR5DQZaJUbdwJO6Dqqo8LIkuLKVBkfTcA8IZtcJLNdJniO4qmR58oEy7XLYVzEijrysknNOom5R
Nvre6jIigeBN/S29Afp7rVLNBVzxr3rdUqH7W8jLJ4hnU4jHdEGB23VEQ9Gx+5PWj+FBBwPAw2CG
cZs1v3KbcbdS8vSpp3V0aIRAED5PlSn5T5ke/BKshLZ4vocVf47xosqmBKmUsJgJEdiczHQa76ln
35Yq5TIKh+zG9ra+N4r20sy3RRnhRkkzX6zLaYZoLGlUAgQ7DZPgkvG27lCIIee0DbHhaTXuwqns
XhOXKEAtUqPLMoyjrd2O1tWOwoOmaCE7wjkAJx/d4VgHumfPwTjLVDHPWxZsaluPht3CBuqtAOeM
zso81PuZ7aCqZ19UtmcMY7r24Z57FNmic+i2syab/qpfPinFmPNr1PVZTVh3VSQrbdgt6btY7aD+
WENxNzZa8SrIWCxGGzSbNbBdl910oF1dHhx2w+cycvut7Ev/auMP9AJ9UiF/waWhjvQcJUHOUlub
9t9wIUXLvodJVCcURvraWz4TmU16zHeXRg8RpJcD1t+y6fwjPIkVyDTnLOZDN7KwIWCOpQam9/vO
zdQ9ZWpPUs2Gyp8+pmVkbUGXuce86qHCuOivIqQGL3Y4fjZzWv0UxStBxsXnYKJ1s3Rz+/djgT3A
vqTVZO+bwP+xzC9TMN1sPhWqs07TvPNsa4SKj6nwpcoHoClqpp6Gvu5e0CZ/hP0cRDhfLHAvOXHs
35oi159b8f0jiZZ2D0GP7QKW3ktt53KtOShLLZTux+WAxIIixv8csoyn/uS467/zLs6drSusCKZj
XZywRcaX2qLPZtmR8x4RpxxC8MAvkrNnQ2RTCxqlTldUjyh4hl2ZkKgHF08+aq0Ul7nqFXR2a22R
LtA2KlRu+DXyGDmSf6Jier+xGERw3YftfhkuB1jE9YRGoUrr5qB1U7TRYfWuex2om90MluWlyJnb
ngWRVIjDbcIpWOFO5kY0Z97UJjoP6eQwa1iQZls7UAOv0BOqwH1EfKQRnr6z0Mwya9dKqWb7GbO1
s6Op2hWmgnaKihlK+RZmfiTCWVwrV6NTqqj8C2vdAjB/bXFheyPc4sMyzMPgABCieQRW6Vztgpxo
c7TZQCg46kQntlBxxZrcyeoh0LN0H7eQuUPDgJEmWM+HuK4OZtzjEx+zfDMUQERsVem2Mk+G3RTl
IWbs9KCbtXzqiH6/k259oCh4hgwNnDHFS3TnWFmyJiUgWiNalEfX8hWUnWQ4qA2qJcil+zyhmq4H
5bM6OvqjOaGFKyj/EaRY5z9Ut/dKRfNfEyw5exAWhLSI6tOftWJ2k4uLM7Y4nxh9K8RKiNgjf/0V
G5MNm4bqjEC9AnWjtHtJrbTLpx8mvay8KCtWeE4Pk0TkP1OBiCNGOv0S47b34kaUQMRZOAzuvzPP
Wv7YYX9lncV93+4NQUUb10de8b1SYcFaVLOh5ESSPx21OEAtJsSCU2FVN6iV5XPCd3IftmW7E75q
vPgkwtpha5B5HUZHdaRUGrnu+BYXgb96yDKSKgw3oK4z/fNA/uQPwELSwzXf3OWxcNZTnJHDYCvr
TjXSd6sykMyZY3uA7CEeaXN/OLZi7OCND2tMGc7p7yFlWfQ9zHvjWalcYlADqZ7UDre6qfjlY4EC
gI2S2u2prE43w9cbSvUNScuwTAnH6z/cQh08QaTYHgvvIafdQ61lMPr11CjqN2C44hZ/zwYvXGtd
jdYp5V63HCYnoUIy2MZwNIlon98NmjPFri7T7D2RMFbQKTUqjXcfptMDFJ/tgrKH/P09MmCtbrJO
bYcPgHHAp+ZgXgyPahaxk4yr9rIclnmqKM1dZT8vM3J+FoZ46ff6wH0+0NXslKepdStqk0+LFr8t
o+VgKcgZHEVr9qjAtDNvI5ooVqsueCMRoTs2GvshHWA+2s5UH8zKtB9gxdsPTmUcQH1ad42W/6rY
wHKrhdoW6tmD3rrj4Vs8IlXQK2QH7shPw6Nhm0A05jPDBPKxnLGo/nOm6ZA48gSqTNDI37JP46fl
oDRy9oHVt2VkB6xEdFnah2VYGRl+B8wMJJurvldkKfw7ibRTg3Jxc5Nw2itTnO6nvNJuVV72KyQY
RKhSLWzyNPlsTYikSawQy+sjgAxKLd26PEnvY7v9cxYMLszswD/wk423pGLIVi0uaC4xWeYaHjhj
RqJEbnYdw3K8mCJ2VksMyt8LcTf9uUANjYAc12qPxfhK4RuxBycpXnmeZ8rfmSByplteGP4ah2uy
U+LJuRvRFOzAZLbrdtBd/gfTZ+UKhPdlHu8U1I30RpzoYfIj9/uTrCf4O+rmM/MH9Loq2ZmkgAYe
+VbcYbD1bjOw4N43s0kiltOTLPBSQFisV3SfTxQp4XO3BQWmIBu9rNamiSDTMFyAQAIsRaDo1XU5
pEEcX3GQ5U71Z2aZ7vrHAvmHT6H1d+LS57PJB8E9tGq0sHgmqqXbuJaIcRiwxk6C7FrOIbwE67ms
v5J4q9qk9BaA4OpGJyxV1c+paSfHCC/EvswN5WL0lu+ZZm0/YTGcVkFaGD/6wD/2QPeCFYp63Rk/
jFFXXkY/fnMHtkejzmocfI1+S/KelPohhhwzBV4MLMzIzWtDRfcalINxrdTgre1lyfIlbC8KkLyn
EJNxMKMrh9bMj5jZYk91p8uUpb/pmR97vwk/I8BYZBeY9SVgiXbpBtLFlgtJAg5WV18KYxyuIFyS
6CEdMX/JjMRtnst42pXKeGDp8nP5ABX/nu87ysmdjHwWGGBn4iDOUOnSV4h7+dpp/bk1sa3k6hC9
jRqff8L9sjve3O4VDExSCuPIL0E0EaBl4JpLPxrYMi2HCGHbWwwXZU3PoHg0LMcnqsONNkaov1JG
QXATVTTb1FPjDOObCca46wpsFE3DlmdmUy163takiV5mFzlEDYapmvvx/M4JEiyBmuZAZyP6kUOn
/whT0s10GSunJJtoNWi00WvtVTMbg/6tz44NCeSLnVbR1hF+ttWwi79KO3CBjrTyrA7CusV+9hDz
hb2OEC/P9qxKUtCoeYpMHUqFg3kUyAvWQ+SbL9znol1lG/ampFl8p5XTRxpGxl1aB8GOfWqxinxB
XyipmZsvWFX3y3AG/5gN0bpVk+AVi3F1cfMuWmm5blyF6lZrq+ozNkLcfhCxEk61JFLqCk4mVTlP
ZimQ7AriraVGh8gM10qXd/fGwOOzzFP/zrCD8tVtAwpE06ZWHUG3Dwg/GjPbq0e7/APGt1x/2PgO
prnBBqfgQtC9lHaQrkfLiH8gkfuIqULeKpbFqBBA1ZCy4NzHSgPCslGrzai2xcGtasgy6KLZaT9Y
QXIXGbiUVg70A2QN8+lgJrxrgTvuRV+SLxU3zls0ElZudQPqrNLs3+D0lL7lvBUIqo9qZZeefTAS
T+bFi8FiCB6lPlC9yvIW1NhQPdGwS5DhGcUvodzGHuOw0Q3FPendDXwyxbkRKI8DGcIzG0gtvUWW
wrfXL8oX4RdPdtKuLcOVH7YTZhu6eCoy3ABqK7GGK1ei4071uP0yYx8Pyti85Lbyk6cW9/g07VbG
bNzw+2xN6Wn6YbhO4IWh3V90JBObWA3l4TsOLievnHjIdE1ZpLiTRH5hVyesQLVz81FpZgx7N9yj
hjIfLcu2vRRA55byOjw3ox9O9uDTNOsjzMXpoD0FVhPds3W7QjwhKAIK2lEYRe2xgap2NavUJ0Mp
caybdIrbeegUNv0xhzjbAHzVXZOyY1LR3G7TXG2uvlIAF3OC24gW+pYGfXisovDP3HJBiwrIHlED
sxVH/fY7olB3XWPV1sQblq2fb/WatZxIUdrvIqoQa6AF8lLziAJpKItPKuV0o0L/F0+EJ1UL/Zfe
sHnCqnrP/9SvgCHqdndG0JHQRMHLiK7qwcI0sxpKS0N91vbPoq28JX1R9s6+rybnIirT2eU5VSbY
vl7aJtpLl9bwWsrYPAaloMnqtl8ik8YlbuC/TmZabOWE0bmX2Vc/IZ+ONat9MJDJHyenyrcZRDbP
tODlJH3texNvDt9TUoIaU9fOgTmN6xZI4gftsE+Nbf8NNYhzntAdoK2fqMEH8qko1M33UyGzUF3H
oOzLCeyaITveFSiwKzN3kmPSJ6GnZ4l4rVpRoc7OpwOObkGgWY5fRF7kJOR1dOtqlxLzcIC+Ht3o
TdI9quFQ537L0rdDodxPzTnW5cYyA/9XJfVbqdpPAUWNJ8NNf06Nnvxo8vhnT+Zs0mv9u2JlR6Ap
xms8kuViuzW8CmoNq3SK3i3cDcfUod20KoO8WqexHe76NvWvreVnZ+FX+rVA3LdNo8LZZ+hFXhKl
3tlhkPyg7qt6iqPmJyfr80caxK+dEiYbIK/V2rd7+yqQz2/cDtTdMlwOoD4IYLRoA7fXUhDWGWLN
eGFLxZ+Ofv59K7Vqr8fNqTV5/5dUYxq51RFeHS3dWU6zzAXdL6gCGxa19UtJyvNOTpmCotSI3sj2
xDoXu9ZJaym7rERB9V3MSVxVjfGwip1mG8zRW8vcMKkYE3KV+Ogmam5OBYp0iMTJSmMKokFM0xaE
3U518mKzDBtCcjZET/BPzldlk5kzpcp4LjBJolT3y+OiVB9V9yvoW4u1K8u4jGBOqitZsTFANm4X
a4cN3XKvSeLdh7GvNrVbJ5slCbHErXFwkvxDEpUDervju1Y1DhSJtiVsdOqnV/6TP3UtbvmCZSs/
mFTY5A4bp4lEuapF6qIo4jqlueIRmM0+TXPSkT3ffOqL2sG2l/52DeLh46IoN71paDeymrVbE3Xw
QNgj1vw1azlcbaQM32fucqaE4m7o4vXiyQmlkW+FnzfekrS6zGEgoOpuD+Xh75xGAU0db1Du7cP/
0q4muppvDODqK39uXNclhXAiNViUzUPblNzVnPm0lK6+TsJwN3Qi86q2EA/KqIgH2pHEFSpaubUC
ky1zw4p9ZWWTu8/isLlnHbvyxwkKLQ5H1NlTjnhMVlvLgh5gOLQfRzt03+qa2Bnd0opDPw9Vwc2O
tf2LMg6VN/Gkgzlb1g+hE2onneWa4+otwDYAmEb6u5bEBXNrI/RXpX50YcpEpXlPwzM5+qZOASxy
4ZhS6FkrVJ9/EBz7waPcuPEX1k42u3NvmUeDfyz0znjGYD0e2mI4Taaaep3ZmjdRgH93koJnlyEu
GP9UbuoVwABRJTcNHFSdTbJZu1N5E+QpnQO4MDvLx/+2RhvzUx3i5pgFCWBU8gpnUC7Jw531s6e6
yNLI0B7RdOCt7sAQ5j4bM7AjJ6Wwsl/zSV6bmB1o+fZWmS8z//OS0lffr1leTHLgqdF9bmSoOJJW
/1WrUwpAe7KfHIP1VxVLi+Kvo53NpCZ0ta2ClzGUP5fX9gAIRFm1X8iCtPLhb8DqcrY8UWMbNC6Q
L7SO3RlcRkcUDIf6m0epaRluRrzc/zYgxHB1D/T99prQm73izAtsnT6NicxxG6tW+GB0SewNqf4z
zvXsuFCaF1q4iD4yy00oHpLJrkev+JlQCo1l/m7E/jVLETmVBOZsfCK9z/lgpecgAE/qmJl1yAB1
PnYKbJ/abbp7Mw/UwxTH2k7D5nIb6JqlGrJL5LVWpVUPRRCmRzEQ2ZWRclTO1oIUjPrW8OGtRrnb
HVvXsHiARbSuESJkdiZQTFPXGjuxNvnUZKxk/Y9RdHjQ0f/RrQIxuYOG5u9CPXw0ZWnCMtN97b6R
TbXtK71c80TX71sNZwS7QUpoKttTnpjOMXLD6J6bqLFu7Ul+KlVC/NxQ/RR5pK3G4t6RUfY8ZHwm
lS5LXlS61HRWzPj7LOyZI5Y9XcOEH+5FnQ98iwBBjlPnLahrt9GtTYoE4NCWafXaIU4LNB7B8TCT
zSiXXJq+A6XTsoZPkyrCzOoU2zBQ1Neyg2tu5pN7duartv/K9otkgrFIziOQRZhfDWUYBTx3T7n1
Cuus3NLamovtvrtLSR/si3Y1BxxgT98GTQQzQ6msJ9PWrghdovvlEhsLyjJJK47LRYcKH796ne2W
q5ZTvTsgG44slJOrICr6Ckl9k+pY8ZeR5bfJdXCTfMfzk6fQ/Aru2qMDoyE56AhEESkDrtPi+iGx
nfwS+H6eAAzjg6Xh2nwEU0TaZ+Ppvj6dKyoYF8syuwt3947/iD3B2sUvAzuYRqJpfMBUqNcGm85V
ntrZidsC8lEtDr3WtNtHmtH9urN6qB1+3j0WNRtkapD4LOi9Ld3b5bA0LBzBPgSg6LjN2x+lXwny
TGfMPgAD52cJVn/mV8gYpUYYhT1AIaXDr2KFhxwx77nng2fV/XBcRsuh9pP2LOeD1gCLz4R9gCvC
wiNwLa9vO/uDIF4avmH2UlFbOpCarfENjyjxISxb1VE7a10Q85wySsanKEn6tdr07noZ4iKpiRcf
9S8zd6njxel0AgpRyxVfWm3bWPW7gukAU2bswVJ+KJy4v7pxThcuyhUwRV5Ae2Q1EXx4y6OyvXUu
6ICAusWudtT2JueDXz6wbD1AEXta5LO6E8PQnVi2pcRsAMKUgBPmEq1t538ujHmZH9REPsxUtl2F
vXI3+YX2PnZXfbKcj5iyLQvHB+Af4s72Ax+lGR22VV8l4XaZVEIAgKPixxTd5YuKgvBT4qdeqW6a
bwc11Na9jK9OFMpns9KMvaJgvDHbzHnDCLmepiD4zK0xo5DE96VnqRkS8IDQ4z1RHHtf6JgpYHok
Oz9tjWnToamVBn+JJsso6pExtA3xBRJz7Y/cAKtok8Ziepkq/4duKMqvGl9sbdO/Nev4S7dCUglz
rGxVAy6wsIHEygTMsUPRyg9ZniP0PJvNmDi43qt8lzXI9we77p70pvLPtSh/LqO4rX+mDVU1o5jW
WJDRpsY+8QOsC74sU3mOM/3Qo/Y49eRzPSEvD7Zjbk8b4arZkzFm8dkoWHxzHzMf9SCa6ktikruL
cQu8OtG0O6fsx0e/5YFkGo24gqmMNmVNm8RIuupHlJsHs69JXvNrY0cMbr4b+4ACmJZbUOiBg3Sa
JX8ijjOrXPVGKvhHM5uO6dBk9yT1TI94t4dNq2nGBvlddhn16VDbQj+pFEFPVXyN2hKfhD0Tn4Pg
XuRieCfju1iUcFgwFAUri8RCgDUYF3gIx/BH2qZXJW3sJyUY1APAIHuzzOf0WzJD+ZChW2zbrp3X
uhOtcSxjpA75jykxUo96V52HQo/vl6nG9SfPHSAzyDnPU9CEP0R+h+IyksRndMHTckDmCDs8fVwG
Nk4N9OcaqA/ZHIApS4FFqtO2QaKPLIJmvxrCfm01RVDBlNKmx8JGDKOFboxeNa+xhNN8tjQI3nQX
cPVyWIZj338qdpZxj9bzR0dYRyI75JvZpMY+SljhhQY/B6YbPql6liqkzFEZ2+1S4W87jQAAoYiV
Nad+U6bz8SBKlM/ldDLayb4Pp+YZLLzxG1quIlxtqwzcYhcmojNghhKiqo9G2jYxra5go7hqeqnG
+yWtyFRUcVcM8rSMEN5H2+9gM0oLWfTQW8Z7pugfihmwLIRX8ZAqqIjJbpOXkqXdDipUtF465iku
FiuFktEpx3pSy3dCIYytn7mXFsX6eexiChaOUx9yTZGeK8LyoBGiQK+/XqMR4FumdtBQZytA0Llw
fA0RoSKLnizZ6meYHPktCll6Nr28TmpW3Ezp5qcwc76Wa45I4nXl9D7UbvdCRhR1wlY42ylszd23
W7lUiw8tiaoHFl6fZRdo75rRaZ7ZspnJXXt8tUZWu+Dv3scIeQFR4t1Wr7LkDTFkXJOvpSgyo3o4
nzrGEJ79+UC5wtmJtH7pXN/fNzZBmyR7BeUmkuV7rfU7jN76fnFAw2607qwwu1vczrlhj3w+E3M1
zNngmar720pNkvUynOY5hDHPIPS1E1v28MkPCfFBPExIEIjYqBcgD1MA+KKJTPp1vrmq+Mb7IMlX
rm+Ve8XA7NZYYVRv9OkO5JJ+P6H9u1IqU7yYusy6yuP+zDaaAqhqdueWJ9r3WVGdcFKyr+/jYFXM
mTwkU+t0BKg+6fA1aCR6JHjk9/Tvpr2L5JTmW4Dmna20vSrjZJz7Ncpzg9NwBX4keRtFIleOZlYf
pGt+yrHVP920vo4IZLdYbUHi8/woodCPFfB6Dl1v/zmzff2R0ti0Kyg0mXcgkuuzW8zbTTcCqdh0
XbMq++5FkVFy17TmsBFJhSkN+/dTmw8PhgJ5fAxHfNNAOlexHphnQzcLz5h0uRVT7z+QP4HsWgl/
57ZveZgoWA1QYaY1WRpz1SDtk1U3a9b4wvlU2Qv/GodU+wmfj9GXtybuioaPu6rJYb1czufX5JLI
TDIV35A5enqrYNOBJ+DJulaRs7v9TZf25zJvqxSniyZxLmYQ348WICDEkeBR/m859FwcocWGt567
ThwhbKqC9I+GepClsQt0VkTYE8H3GSJD9xSR4Apmv77HdmIeyzBt1hIqEpwcMwDOFFKRng/pnMAQ
2Wa1S5CYsO7419xyloAeGlN5/G9+0zq1ggOUBu+vD3Wsm5meNqQei7TP0nRT+i2ZdnablC2YP29Z
jY7doodg6vtyT0rYgaUo7Y0RTJara2CxWlx4x+XwPf6Pa92Mt/zfr+pKwaZi/lHiasgMTXmb8tmN
bfi4XYxoIXEIlMLzlDWuVHA2MupGNlocujadD2ZNoWtsDmyv8cAlOsX72jafqIXQ8INg7PVsXp+A
mf0KFL5+S+hKpOZP6VQOVz3DlqlPNARd3VYuy0EmA2dqgClCQ77yHxdgpA+5G6+XC1Q5npQIfIca
otL04O+RnwlHe12XieOfMNmslIhvaUBPY2sjhkL62eo3K7JoXc+9jriREHL+P6+A3G++aHn1plag
MKfsa8BMvnbSpr2o+QSykA9LjnToSiRCzH1cnOSolNdlqp7PEpsvIE+Jer/MEeHWe2OWzFZ8zV/X
XVHvwjleRokT8wLdl4zFGWPXm4dOivAxtMV4xqb2WgQyIJehD56iKvpNh0S+2q6DzL4Y9Wto1rh4
wrjAnAd6xTc02jFTXvBA8tcdC5rNmGs4H6gMPhcuN0Q/mtcZLXfFIM9aUmp7ez3fS4/h3H8Seu5J
CfcpC/kG8p9FJ2KrDYAB/cqmL6W13eJYAUfQHCwFgQ/19Edphz+kpjnfI01Flw1JdiDchYtJGIH6
csMXRCIVa64nGWb6pYzEe6bpyvNUQlaIJYu2SS9Z4JE7c+7jqF8Fxs9qQmY6peYpLyzzEdo8twhf
rqIZ3Sx8Q5D9FxnfZ8tcbtL6mEJADsvV5TApsCZ0TMqocg2Ph21yASD/FfoT3tgWB6BttN0fMMBC
C7DIy4HwzKF2VcgfMZjUCi8VIdAFrBVyTlZ5/aEE4/hE+NGb4KXHMpbZdo5CJMGUqGGLLQ9Gv6y6
Ts1QXduOXfb/DeHRxX8geODn6LYgDlPTbGcJkPlnzlc8uIrLWnNV95rFziXBwGdMhNlbWYH7vuzC
dWMTSr6Mq6KuHxT1q2aPKImc3A6YQG7p/+PrvJbbVrY0/ESoQg63zKREUqJEpRuU5YAMNHJ4+vnQ
8jG998ycchUK3b0AyiRC91p/iG2fNWJufhsza8tz2fylwQzW/AyGipcGS6si8TQqCLHpE+iZ//4/
cP5tauiQXvNw+MOPzXVN798WN9Gg6Spc0h4FHi5DP59+KAGYD9cAPOMHaJsJu7jiVpheyHuvZSst
bC4fZyUb3hxdNM5irJr0KUC5JrCqE2QY8rvWiPDavFeYg7nLIug4kiGBzm/5xZhAt3liZuVjRZ30
dy2gakzWQ2z7uHweHC2ptzrA3UXqA6Yx8dIpdfGJAuO4HEfM1fK8aJeh0zhM5dlIS3DHTbhI2mYr
W7Lft8nAYGebLBU0ctcOeC8IwFr72sJvLuBc39V+nyIzMxuzejrqsjqrwi0YYIeLb0REbd6YaVyv
ygaOaDStYqpiMER775nnF85loXXW88R7bjrBozhpKJhaH//9l/rfak+eyy2rm/xD1Fz/txMj4Ajh
NgkuSp5SJN/GAKmmDcTCPPmmNZNVb/77x+kWOur/vLptxzANHWOqWWLKM0DrM/7X1V30ncbTX/wy
R17apv+EBbDyvfWZd6it2j+ohhUffG0cWUsE6YvrjM8yAmzW1QyU4KUH9qmpFopIQhmOdTWNR7ln
ZAUviy7HAG1Wbe1sQBhemE0freVvxiRrXm790Uxi/j/6aydk+h6ELEO4OnB49qi+I+X1jDllt/En
6qMaTKJnSzGng4kuJDBOmoamOucs1++GOkeBKrXUVeaNCuzxEntB7BEVNCHY1Jo57EqzQcaA1mgl
wd2gw/D7K0SOyIP/Gpadt9PcYkz5AQE1hXCe8/ANVIe27aJToZnWSiuo9AuTWvjQ+z/9rl3WzeR/
FpS0Fg2u8BdkWYptBS+UEltib2fP41XkNJvaNeP7csYphcEAv47Euc8SkIdFOFukA0sOzz4Gjec6
yNWN75D5kn1f0TkeIfdjEmxk3y1YnlCEIBA6IN1fsfJ8nUG2ClCsuZbBRQYmZ6GTc0FbAq1ErXZo
y8+bleUKwMhXgFgJc854Qh89ME6ViaZSJhDBKeHSTknkPulKIQ7IUTbr2Mn7b23/oqD49AHtQ9/U
BnoDZmh3L+Dy90YYVMcQet7SAxCzxklH3CEpNOL4kpbMOerhe9J8QguxwZqhq4SECCR5LemPaBPh
/qcB64/9s9V6/Xdyvi04jrA4G5U6IqqEnDCW4s0l64wrxoT96bYp4RSdVG9163H/BDT1OCEvRfJW
jjoQZv46cgTCsZx8qPX/GojVlk+oe/RJZg31P6eTYWk06QeziP/dL8PgBglwLdq4lE35lzSUOLGi
QK4clgt+C5qq3tmk5K4Qsbd9qJjvmjO1G17dytYv9fodib8g3aFp132PyeQsI9Ny0BGx/buhauN1
6hTRR4rqjozQmcPkDoC9MXnOcq28hrnrbBVM0Xa5UfnPxli/MAtxP/vEJX011fGT2ZTFPhkdawOT
p3jFnAIuS+t9imSklORT1o4MczgLBQ0rDJ1eERkrNrqZiMMwpO5DNGpk2Qul+95BqXTtRHnHMjQh
m1N5d7yNXQRpwgmhKSLieoda9PSJhl/KpMmicq274dEQHUrlpa99c4yfZdX23+VF0vQx4hxUl2fD
vB798zF+Lwt3IyMcJwGn0MIZKGqmbIFurFnaFkzDk9+bpm7VbT+0n7f+Gs+9YZaV+B3SmuN76XQu
5Urj70NvTYQK051TnkmXYmhZKNFhYoEIEqU/4/c4PgKqDp7tXFvLbp9ZAnIW5Alt3evA9ZAESQCn
bOWoqgRk0cnYkh2cR/UXd0yTl9xP9DNsjm8yyGDCt0OywUGOkA8CpKPgs5THB8vIuyVgIKSmfFHc
oXeG2JuI3IJEDu3bRo9Rhm4zM1/+FZgE0+8Y4c4qcbfwrz0N4bXEnE5KNHtdDBbaExWmgHBnzFNT
trazehnVxDjpc4cMwhW0W8cd6FQnqKkKpv34lgTquObVWIHyjca3UtH3pqGYT5bvxGct1VaITKtv
WBqoi0h4wbXWyRz2STKdW1jz4PjDEKXibLjjOVNuvb5gZmFBRsk96sWB1aK4g+bJZ4ulMqjqLARE
fp91XXVC0j9bKlPt3KukDe6bImKK2plJgKvLiCf9rfMWpM+dzEOTfUYxSvZPkVPsejNA90aLnCdv
8u1+VU0ZOctY3VC4GI6t3Q5HJO5/xRogYhPQwpoFFEtC1FcuegP9Imid8DNHXgiFxTi8ZEbEO8s0
07XrmBFTIvD3vkqpeg86zdlR4UJ4bBbmZUpT3vsjcCZzltuNStg8+hSAbQNaKLtySP8sFJ+1OZx3
730XIkr+Fd3FaBRMoXcnm9TXlCVFoX4nYxVEOKFUYJIkP8lzqIMGBXelDLYMIKdVCwJSftQ41fYD
lbCdHJTHT+4WX2LyxfMfNujlSdWb8euDXSCTCOJCddCz1rmbzAb39QJGz6hcZCNh/g8wBw0G2URP
l9yWCUxfNvtp7CCTfo/QznmSPZVoYS27lX8I5r48y/otHhmoEjqGcvR08d1HCZ/prYGRGVpF91af
iLXRdMpL0tYvZa2XPwcz3KLMaHwknm3Dx8GnF2iOSpqwnshP28Ml5DbDp6ibftjdWh6Dyg0ZuXDU
nurK8yABgq/qc26JChG6lcboO1DhOyc9KrZh3CWmRRrXV5Li1JFMOn16aNecsskqTrJTbmQzWgyN
V99H8AGBop/cuLB/VUADYxcT7AV6ZVQlTdarWtDd47dhfQZUYhdTn05vQ5KFSyN3jGcbjuTKQtnr
semdaDNZydmhRHIxK6y5dCt744WKXx9YiWUHLuQtcbAkzxqrBKxUZ29R2q1SU6RX22N+2Jtx/nXU
MEbZJsrKFkwjR5Wx+Yr0lYVztOFw5Wb38tyRpSGrYBXxWja7Fuy+0qQKzkxJ94qWwu+DFe/O4s5d
yiizKFm8d6PG2nw+NabEwVBmz6rC7a645i/ZHdiVvimhJG9QZXV3dV22K6QKhkWfzDjeIK2OLuDr
5QDF6ZsTj6exiGZvv2bc++SlcTey629GvWadT0nPzLG6UfFlimsKQF0B0nE+rm1xje2Vrr2vYr5B
+MXoGWZ1/a2sDfSeXdV8wDOHh4HGdEWekar+Hfk18wryKd2TYco2vIISXIA9tLTcSeNbRp4WB8D+
uVdANSSVjp5AlA7PfmvF9wowhIUche/XX1wqo1U6xC31h/ToWYiLBu0lyI34HBZYw/Yo81xEKmB6
ZFX9EuYkF70snT7GZLySnU9/jgCYwor/JeCMdWoBQiVLbYAgbv0L6381r6ILMuCQY/Kw3iCOqn2N
oYjhX5BAWLYeugIyfChC8h8uFS95QGuN+iop8D6CC10tzHaAd8fl9rV36wuBDv81Shn/7zg5ms99
/4qT5/vXWf6vuJ7F1J1FPghEcBltXVR0F8OoJedKswaqRyKGA6yGx8SnCLBIeAac5XBRgVVCD/zW
I/dEIp6qtgoPstXIc9RhiTpjOSAGINvBrMAOFbxfq3DxARXxaTJcDoSl4+y6Pv0hu74+FkeflHVR
tfyrT+4OQUddnPuF6/33Hyb71ZrHuVZk2NH+Obv8HM9tU2QAam/1+8zz8O1/fjuNQhJs0Wlmv9V7
56Wf9O6znSj0T4VnP5JSVA8TcqXr2kiND838IQOqMMqxzqpRRrH05KxToFyGVt59imLYOd6gvtZ2
Gmy9sLF2E/qNz/Op1YDkhl9m+sHzAvdiPkpxB7kJDOpUY9BNa6n/UCiqc7G/xoM5HXcbl+HyeHR0
Z62Ifx0vm/J40lyjyArsEjAav53797EyTp7gX+f+/dmditAmb9ZyB2vSerSq2rxL6uZFttzesh7V
LM93UOUoLs8RaJJYj35Q1eumQJ5dNuXGjMMC63eK1ylGBOC0wvob+Kn0TtVyqkZdoa4o8OgIu7AZ
tdYDcuZZC9nUKx9xTEGm72s4QZdgkWICsBmSABAJaxSYKArQQ6+yvrkI8Ne4G4yDFuAYWIk77sTm
UczCFHKgasz3JAisJ1bZr2LU7m039E4Q/1c9k46vlkBj79S0tXfKEHNY4ucXrWWY3GA94SFbHI2I
nCrHW788wPfQlDUxFAaF11btTIp3AFYbZYo2VFKsjaj3fiW45CR2AwQJl1rNi/sfdVY/aCCQvhti
upZDmX5m1vgt4hX7rTVzpmBp779bWM8uWNU6b32QD+T0Cvu10gO8bVAefqlc8s9phdLOLGDioB/f
bUa3nO7J4/RXeGbTgqsZQTnF6a/BNPpIP9rWzN/pryUgmuUAZ3iPxdNwVS3DYinoJXs5ylsWXrUQ
9U6O1nlrrXKn1LadSCc4xxAnSiwwpoUORfVoa6h51bWWrNW5GXlOifGH7ZrH5CtARn0dgNtBvU+x
JNaMZa4jzJ2nbgzUr3e2+VD5b2mGxE4TeB9GA1I/detsL7xYpaBVbPm5vI+waLwVS3ztMLVx/Wxl
+UOVe95Hgr7KinS7uPcFQopjgNDIHG+muO6aJZ5QRhOPS9OOIdj47rSphzQ9hwg4nuVeSW1ghfk5
TMF/DrCctLYo2OIv+88BY0iRXtH1Q2YAwPkalSE5frC1ME8hDjsz+vBR1u7A37FOkbW82uvDzVDb
aMzdOmWQHO7R0dV6beChzOM4TzE1EIJ577+edSlKNbg3oYZI/jXZJqHp7iK1mJ4MN/8pWJV+wn18
Az/Bu9Q1BHwSV9uGSjBdDc272KbrfboGtZtA1ybcuwrIsGi27aF0iLPcMAkSJDTaYDe12oBG6gSN
AirgtKaWrl3ayjYeqE7v/KJxn3nzuXjG7QAwxc9JPJmbwvF+tEpb3cvN0JvV/TRvnARtZIN1ylIO
KMU8M5Ujt8DbcZgNFetBDPpCnuE2cGvCU7T3XxnAPtcx2QiypVUkyjVF/4eylovWgD4K3KBy9crj
tlpS5W+vgdE3uA6GAtJr2y1dPMKuKbyYpTv5ZDWjBpWAInoHPJCvujxMKRsDnDm0CkZ5S3Kk4oBe
IOYHcvffbZW5xCYYItI7y1gLvrScwccay2KKUZ+f+YFS2lnu3ZrAFqqVQcF4OSlhfWhLqzrYavl7
L8zHLl0M88htWO7JvqYMxp3oDg7ZUN73VrBm6TKc8q5Bvkbuek17BJ1aHdSgHk5IFmCSgZLaPUT3
tZ4qoMEs+3vQMpWu4+bRwJj7IwznW7521CslTLGqTDjUDVzUjYoP4r2JudU+dntuai9R7lXEGDYT
Es6PRlvnqyEQ1pXVDbBb042+Adp96OpJ4G/SdMz8zOLiBeqFuTOiL31dXJC3R2lSVXgp05Kb0ExT
UtejtcRCECs5EJOw+H0MUOWwPEnJi9p39UfZk1WozQZSwHH+ANnnw+lZUV/vN0mnu48AZAPT1k4I
R3v38wOBSaF+cuZNapMQXkwiF0tM7VFDt3PA5bELm9/O81M7eBmelWgzGKy7l27Zsea24/H3yJhq
xtqt8KOU0X8dqBttvwFfrP0VLU8mA53cK7cQJRH0mj/g9lHD/KHArfMdjOrvaqIGx1Ix9jrKJFvB
HCZdeuiJk+L0z41iox+bxNCVWywOjExcdLlpNRSeg1Ffywg5MCb9kxE6w73smoY2Q1y6udezuD/e
NoPj/eJaaEGKWt2xbrIARHXW/A5Ro6nhBQcEQ4RoGMBSskn5+/qDENn7iDIYuLrSeIjnjVX26spR
mhymIU05UJTag6tMT7xw9OnFyi04NaV/VBDBq5cWuo3bklQrArKmescqE5xUiC41HgtiZXdp+uhP
rv00hCDRq7B0tw50k6fALvVDUOT9Qo7KTaP8CDxKfr97JtClZaTvvDneFghGJaHmgu1uIEjap9hL
tCd5rm4CpU+1aNjLI3XUSLBKIpf5daTfv2HyQvUddu1flk9DoDgHuUlKA0eoW/tmCzUo6c/Q96Mj
cCHmt0OFCq4Qwzs+mYNoy48mQse2zox8G6GM99F1Rzyn0bTqsFbpUAbdQGcrP1SPHLCdNa9B7bf7
BDdqHpMcjSo+akmqeh3GcjoEqH6sZH/oqGelS5SnLA6APcO7XqValzzBoUp2Q5uYS0VpQybPEBqQ
34nKlhc9tXWjwAzVw/V4EfBtrTWIh1vQuhAcwvIlr0PvoQBm94Qz96Gduym74yaOBsxKNinPYHaS
ei61LUabnOxy6bxYcaEfgRMOC9nNlASejKn0i7DwrDurN3z06nOxH6Lql9tGyll2pc0AAr5pR2xc
lPg08br+2mSRneyNxH269Sut3ZFoVRokjY3PW2hliOSvI8E1byFlwP/55xmnyGj2ZoYWQIG+cFsN
lG+MVHsdCoBbqv8ClGM6AczElM8q1VdK6lQASttdy2Zpg8tUHTI2U2Gqr64OKpnL/+rWbvAwlt77
aDjpeVJhg1fMOB8LUfd3huu/dX7oPpKDdx9FapZbwLfDUvaZwQhgrqAIkzs8drvBuQ9rw4A4IaaF
bMoBW422QWgiFEIJTkeXXNFOtqHytGbGuGjaUj+FIgaP0HoqjzyjeiSj5O5lnByFq0NqJ0d6EsRV
vua3RV5DhNFd27j6BgeR6snhC6CGkiY/6ul7M6tVgPL+bmi6eGkm+G+Nbp693uo+tOmtnTVDi541
tRPboAJEFT12oA6p0KAymjX5R6EE6hOaJQAeHRPRvS7pNtTi2+2sIGPPzh9G5n90JgoI+JhDuFai
fCZrpScNXWcYGKF4Jdu3sHoEHEmTV1xWnnWtk/AXED3rCMXevrZV+dkMXY6oJmM9E2odxuZXS8mY
/5oji9R5zOq0i2Uq41erNpuTTp4M1RSzgndetdy3yzBBtAnZdWOP9qzxxf+omvIY4BlzxO2IENO6
U7TBe0jzfFsC8MeGpQkWxkyLVMNK2/mJY62CvBWvhTfbA1DX2svRkosjNTXj7Ni+9pL4QG44JjCF
dYL8u+Km+4ERqv+sFyWuvMJujuUgxMEoEEQJIsN9cB1HX6r2WLx3YfJoU8X+1Xb83vqQ/YgKq4Jo
klcbTUTW3mvFsm99+12r62Jr6326lU38G5ZtYUWvXqiWhwj1d0DxtvPuOMOrmmnppYMAc8pxQVto
Q+28ZzkKpzXV9aPhNeWlL6cXY+7HV8lahVqdH0Jg4K8Z2Um/RtSDdAQ2J046nXU71he60VRby1CR
9nG1ns4MU6MpnPVqxRKxvOah0uv2EIT1m2wlJCkpCiKWrDctRhJzRJQozcPgl2jXOTieJHNT9pki
a871eAlGE5fxNPeOpQ06rwMUtBc6VWtPtfnfspT6rGJgtX5m/yjQlViE0EGfZGyP5fm+tuereo51
pppceR3+FTvmucdzVfmEJg/kcZaaJQsOHkiLQhVWeID4nJPO+KBZitatmE4gyK9u/+50Mck0WceW
YhAA51T9OrZcI25QKKcYoZyd1VjDHhsk62hB6FpXYyaexzrUFxnmhyCyp11r9ihjRHqzCv2ifpgU
79cw4wmDrvb2vtb80EWMW3pUR2u3j9xjKHWQcDy2mIo36abNlOHBGICtJJHwl5JqFFEDoI7covtn
xYA5gOr+biPFBV1kNgYZwV+vi75wV1Iys6xYS6Sj74PVCOsux2I7Gq5d6iTLyBlqxIC74QqMgNRY
mml7OVo5Azh6w/R3cjQyO7hIbih2clQZa3uF163KA4FTeV2Eu3aAgbBswgC01z7CmRvZBNVTw6yL
ZnYZwUqfgyBXh2pt92O/xvWQ9f1sWCJl++We3ECJwMRk3jTSyeTWvsX4djCuM0WEuBMSKAewW1mo
pdJ889GnXQDrVp+D1DA2YrDqQ4S47xkqKsZucSu+VdW4GhVV22ZW5G66rq5WLQmxO13UyaVPo18G
P+o3E41rZGKNDldwPTklGWYZemQW39LU4aJQ1KeQtN5BrVEMK/JEPVdVMW06sNN3RlD83pR2We87
KLcBq5C7DoImIifzrgyRe3JkbECSL+XBSprMdPE5KI8LmAQwbfoNal7GGnhluMI0R3utTGjYXgLU
TjaNxHnooqZ7FOB3YKnjqJ0PUBEHvKf2ttHYF+j140lk0Jnmltx4A4qdTq5ZG0iJ9iUtAUhOFkbf
/wnAtQJSbGYbX32WFdoXSnkbs1f7Mw8rcjOxe49s4RP1t+wldcPxGJhoMFmTlr3YBcCGyVRRy5lH
MXQe955AUUqOAjRyt1ZVeKtswEPBVJ9iHJ3wS2KDrcrvjey7NeXe/9vnsirdqWTvtIT7dNRKFJz9
NEPTVpj3Prqn24ic2rF17XI7Cs89VgOlELKe3Wlq1WEzBGN85krhvmOaeabUYq3V0K8ehiyBbovY
/qMIh3idAMF6FKSyVlOSVReBTNaq9hK01u3GWummurImxUfAjFi7VpXv0zhSx3Di4JWqVLga6kB5
0GZgHlpG7l2oY5/Qh7m1HXFDP8cllcQ4ctqrnwwdnoxN/omFyl4pGmOT9/xkIzQOiCb+qcet6Unp
XDwuc/1B6xtx4g3mPuGpRcLLVrKNHPQiW7+3ayRu5ni5wR95KzqneJAtSET5qhE2amuYnxsz0T7y
pvoczJtEsetF29nYjM4D5CZRDJv3bgO3PjkgSv8/R0zawY2a4L5Xm+Fi1MPEUg6+uDIVOeblbbeq
WZGiwZyOlzBr9b1GeXQhg4dGRKghjpg0O4hLOJb/o8w8ZTd0VnNuBwMDhUbNPoTntPvMM5MTLPCF
ilwcy0oDx28rdHaqF8ePss9kbbSchIaH6BwiB9rSqdcpjg2rr755YMjGbjtmRkLucY6bN4WR8FYd
Lujl54vJmKBy8By8y+ZNV8Qst/40LdTEl5rjkI1Qgx5eRl4YB14YTrYY7IDZYFDn97Yfjssm4Rej
mFLtiqGO97nVqedYr4KV1hj1e5C1x1pE/BYlbgqol9uHpISAtpS7KBM2WDyF9jOGY+q9hHJqqgpB
EIMI2eoj46uld7Z+dbOZPMhYWBSs3IpJg0WG4LZjN+AmNTe/NqrAybYYjD3CmvnVpO6/KjvF28pR
hCCtda6r5SZAj3StoIWwDaOsXyADMZ0ia/QuAZLyg2um7y0QjE0BM3wrm2ghbJy4Q7Gyx5nEj0mJ
Q8AZgL8jBtfzLFSrIAQsP5krJJaxIe007jnFQJJdhefTg7f55XTlrtLREVQqzd0lk4iZ6hnvCP7Y
hyYxa5aHhcpMWGnbHQ+I+FGGMON1lpUJHI3py94qjB/BrLjvUs2n9LdDWNy7yI3T9qgsIUK4vvVp
5Ufo2tOjPMSwkflSdDQWeqnhjzzSprWAcOLl7F0yx/GpfDYoSc7nH8peO7Ag6BZaa8YvFFb1ZYEc
+n6amziu+Ys0QYxIjrY1ktLlhIYABKWEWXvzEXQIvZttFb+Afjk16EE+mHFK8S4BjJRn2kItOhwo
gJa+widCy9A1rxW6wmfbTr7JbnMox12so1Mim01nG8Bw4ve+MWE/9clVMjqqzk/XYZsMgN5c+02B
CTiYOYbTot2DjB/Roh4gjs4kD8QWjnZg2E+lGgZH7DcQMp1JIVYAJWNylBRtFtBK/9+py2QXGcq2
wPVyOYVVu25MEH4LpRIN1JpgWo5YWa11uI1n2Sc3wowqXrZZAqgO0761Ds5hGVDM2SDej+OAGoMf
IwXvbqw+5LrUVQiQPkX9tMl+/WMnser8VzNi+wKU/p9DzdyDcd4ugVCOtma6R++nON429eykLJv9
Mg267Gv/1iuHZLPT/GiF2wrEDlARoHD/HHk7G0aFf84hzZdvh38FzefAtCBcWQXG0plQq/2YKgY3
i9W8IC40sxJt5ydQLTH09q+uUXmfdOFbHDvxKm/z4CEVTr6LRKfv4SshFdlU8doQUIVLVEICJDtU
ffSfLQPIOu+qa1gp/nPuqupFZILqb+Y/ywBFL5mkCBX+P12Jp18BUGLsMIdXI796GY7WoXKosbTw
9jqU9q45chJ7lBip0M9NvZ2aO25pEptzE41y6+izBpWtMPKqhxaXKtlqRyN7ak0NTsuEgcwUnVVN
pM91EPJgipxtlNTFo4y0O596ClJ/ML8ykMFqCWw/wVp1/oi0xouosuIAXVFIEGMMLtcYE/hlvhk/
WH4TP+htmZ588iiy1fHqcBcZqL1VS9IUZw9CMLv7sD3sA5DkdI644zjHdgzcoz068Q5VwG+y35oH
bxFyTyjTOxyYcidbvohYNGXdsKwgOjy6pUbOtFD6bTM3ZZ9RgvHXomna9KMN8mEeYFba4H0ygTNX
zOjAC6FnranB/LIjHTg9G6cveb/BG9Tu7M6BbtFjJo9e0b3eoWfnqIDNBnzuP/B5W43TEP4o03pc
KLUfXTBy9HYubsJb1VbiZ2gV0HjnkBbWx+Qg0VS0TkMlPrDunHnN7Y8IqXeU9xZmqjq7cbCdfQg2
Dfhbm3xULqYJmD48TxFwvbADmBdrbvLRG/FPc2qqRw2rn1PnKM5Cxns25QNUDsFnhVW6TEcyf3mv
PDHFV57QFN9bbW2foQApsJ0dCsgNqzYZ4XK2g2aSPpfNMZzMp/JV7ttuETyju4SCLcmlg+xLFPDa
pjUrxswnKzO3OY9ZcKfiSVMtHad6ZHGOxJEcxKx5RRVh2shDu2436BOlwNFNlg4TjoOv+g1+UsCx
otYOT94wcDNm9V3m6t2jbKnFQ5PYJYn5un9q0wZQtsocQYMmGiavJX/XKub7fgh5Fm/h53UHV42M
e7Wpkk3iIPlptUO8bNOi/4i0CMe4AJwVlFqW/c1PQ41/wQcZ0QyNrZUVC+S2Yz99EIqCfmRmkn7S
TRIA3ZhskbkGEjaP9l16sNSR3BYoR8dHFoVlo/GgF8E5cwFJpgjeHs0WZJscFE69SitPQwJPCWFl
TCHoJqY9Y8v3nsx9cqCIzm0Sxo+y0VeGc4deCEsRwmVXnA/dJkdsYAU5pUiWHQWVhW+3/e52DvB5
qLNgJBNPes937XbbTh0O6DE4D0Ed9dcin195mXZmfdxfwyR5c6xg4MfSuutUoEdueUpzRFSyv7qu
KBdNQ8pcHsk6Wl+gK1TfyUN9j9soIvl0kMcWDjI9sGKDZWY6AITisL4XHcYzEUZb8WhU95oTVmTg
qYktRIgMVOOpmEOSgHjJ+oBbEALCcxRXkDJF5j66udmsi6hUz5be6htDITWpuX2yqwRixjqrRxRE
dWc/mihmaKNV7OpSrY6m0dkbSC3t2WMlvXazUnsEGQaxn0f5M+AHJKmMfnqpJk2lbOuK95B6H7cN
QgCehfULTruPGiJ7P+0g3vrkFPAjRkU099J44fePGYsTZHfxA4IE1P104Q72UPo+za75SelR31So
5Cxh8ygPcd0FaxgK+L1UWfAo+7CNVLfN6CAT8qevTXX3MJH2afQ0CJaQhO2Tng5fJ/nqcwN9aasU
W8Wfo9zUfCPJ6xzkeeWGyTqGfaOGrYWvaiyawVWjxqyumcSJA8Y9/qX23B840kSfEUowYIxi4zG0
+uwOm5lgLZ2PqK6TvhXfFLNEaUkdxCGeKu/iqcoPOS4PnP4cyNzwtW7rT2SswkvUoHSFlBG6dyIC
UqFSIgKN1qWF9SjHxrDsuKjrjxQdFWgaflZtfBUnkq/YLERZNJmMbiej5TkDFdcUz6tOs5swygB2
d8qLaSsDyvnWsBpv2Hm+6mJ5MZ+0BzOxmlgpbb7aCZaXBdM1vXWrO3kEcyX30d7fPmNSKnx97Oz7
7X/hciqwQTgG3PoEUpDoI4TmTv4t8vhp0DajpaIRM//fu3BgpTRF+9tBTI3FzgW9Cykl8g9QvH5+
/e0TPERULUk9zEfKP8zt2rfMy3SYp3QFWt4/ghCVDXlCzeb3DtPsV5SmzCP1uFwaoqjvTauKUaaf
AJ9k7Z5pXf3Sp6G1q/O6R6Jg0j4EfGqkxfa2a1T7UlXAuwZGdB6E591ze8CSnLFBlfELYJv2gRvS
uLZsYzoYneo8SsiQhADNUJ/arPtn5HGsneC62lqBMb1WAQmB+Qyxa6UkuHTSQaZj3wNnQe13HsAg
MnAd60OwTluT9AEoNAOIanf4PrbMxCg39xs1bKY3hNnXYgi7TwNJajjdan3Se8yRJg3wBy4vOhos
zrga4LQMCx2s7hGmAUTITkcFbG4OwmyOvlZTHoDdFG81y2NtK/q7SVDvWchdubGqsb/7a8T503Zq
TJyZA2uQsv4TYykWRrIk7tfU1YuKJ7vFa/zPJp9XqbfmWOrTYZaol139vI41Im7zriwP2HoiaODE
R3uWE2lyxEbkhhcmus1++HzrknvRTCHobf1T2LO9WcjMQ/bnsSAv+nUozlyJ25S7r77bib+GZUyB
T8MG8aEMAZ3+Co1DvA+9wsTUqY1LUeF41yhGeoTNZu4pqmm70rKGE+qV2brOhuoZFgskb6Hm3zKA
sx1v1YtDSQQjwukiUNK+QL/yz50OO1tQuHkj603+NrP1HZlQ503z3RUK5ON1CLToCB0LPvPcP+YU
N101De8UQ23fKiQK5+4ynPpDbvByb4XivFl9BenFVdTjWNX2M3mjjewXaD/u9EhflmA+NuNUtQ92
o1arsey9q8YLFkczK/0sO/OQKw6II1fZ9SkYPdJH0aUoq+qjphjFPM8sn/lh/oex81puXEnC9BMh
AqbgbumtSImyfYNQO3jv8fT7odhzdKZ3NmJvEChDSKKAQlbmb4L1lGXRxa2FvxNOM+GZljersHas
I8L00RbuZXf/CVarOy+jR5FH/gTkCg6J/AmeglKtGZ6spFBWidobW5TJm2UzudlTNx/0rlfQjfGH
Ha6F2ZMcIBsLGEq0V9mF3UByLB3jp5wvJ5C59tcBumxrHjglXoo4f3X97sVH7mlrGJ5GQaJLTo7q
viNIYKbLbATaMXC33EdRPRSPdQIaoBfpMnHrGzk53FKKwILE72dvmNg2C8Wk1OLUTfbmqzXrs2Y8
tyjhP7Z5/iC7+6bxDnXuNUvDsLK3Pkv9TQ3OdStH8T4x0HEz+5McVSfce4Q73sbJUp/Kut0jqu+u
UXPx976p5IeuNHIgRVXzJA8GQszo4+vUhee+rDKaJwcoZ28DP03mVqFGyh5yUk0lPqfcaChsaUwA
DgvPbPFDg1z0UnpGsiFP62/cuWkCw9yimRev76NRmO9I7JQrsgrs0Uy00nU8ojBqnOqXBlrJAX1s
jOXmUbMkuQbonC9mvlRl9jzQtYi2Lkq4989TAZgx3M9yQlMm43XK+qNsmZlNHTjI7z84MYLg2XY+
KrWYQN+gekB69FlexOf/2eFbc5Mfc0t/NxZa/djjX1ZDhCrgU611BUMp2JBQeNSxR/yP5a4n7P2B
bM2eeJ+ohPQfgZaCpkyGbGweO58VQGVII7V+tafs0uaKsqzqcHzMOiXbNK1enqNKoH5oEE0FvChO
qEiSjBGhcdX8uF6NAwgio2xRLkU+aWknNcp5/tg/tPIQh7jsJhce0v7hq1s2fVIY28wgApbNrHH6
B3kmDxaSdezN3GItL2TbHQuZPPX08BT1CQJVpa0m+4rC3naO/Q4V8qGnccJw2Al0ctBsV5YDfgnf
1BJ+lYNIKOrC30NLDL8cq/3VO9gptBZqdaaV/eYtppdHEx/UjVDV+sn3lVe/d70PS+dLI5mJpkwy
1K8t1UYhTOVDizBBMmJL2VZqpXwk5hYNiuTDWzm1Zi59rapeuyytt+jq1GvZjDq4AKJscjyjGc0q
31tq5Mz2smnnir4QCh6C98/G6acfls5iinESmeX+dcS5QIVwxgb6DaO2YCe7cH9CN8RMcQ0lxfhc
2N9l9gpOQPdUtcNGtsYGtgfFlotsxaU34HZjfsqWLkrzFPbRDL8m7ZWbWnyMdJCtMkUWhMa0j5KZ
RTIn0PwSnykxqupKTvbSFidagaWrHI2RcVqr6DXcf2phDWg4JGMAcI7PZrC2l00VtHv5WQoNgBGF
5h5k8q0KetQx4NCd5KjjjD9IypYP8rdolPaKNA/uHRVaej2VhUXiFNtJEervGuYDWfn7CXKW6m9A
Cpt85+PvsFOthnvCM49BqZlHvacyvZKnsPaLP6ey7Q9mtoM7d/TQs3XjVT4i8S7xaPksX/8XRk0O
DHq6AhEolkGkbDGf7yk72P0Hwo/U8qjXo1D4Dtw/fSUz5K3rKu2PGfZMZPCgm6TQeqqVyE2kCkWH
7Sg03osfqE+RGqGQbJn1EzIDzXnq6ocWM5An2TU2kB2LHFU62eStgTuL12Cd7PhnM57IkcpTt1GO
CevIXrb8MCfmGudgQ1YUcBdItMdMV9SD7+CImOlthlVs8OcM0tefMzmK8ixqaP/0/a95vddvlDwK
SVL/31fy58//dc3/Ne+vvvvPtnjfdjFSSin7xYWhO0iR9O54KH3yJJUDvbN8teMy/N4oNcKVte0c
EryZKHWUIFJsGFH4yFKmVJ1TZg76bTSwnjAmHDhqsEZvRgEZLM/TJwDC7s10m7XsrgXoYT+vDfyD
nPytidGWdpIu2oxRVF3TKbkSwLpbs2/9JVyGPlgCjaCaNrcLT53Lw/O4/dV2MvjJubFHYWlAG2gI
40XUiHZ3t+6dBtws2tjvdoaXcEOonr1RAV2uqort6ITaFl57Bf5J5hLho/E9a4f4iLcZzdlvQXfL
P7OCeZbyZ1bfWn9mDTN7Tl7LUxSehXkWOqfywyDb4qOZY/4rL50ioLNUdQTgMt9GKdN8cbNmOFXc
eeahq196Wx9OcW+X5oGxFAdLlI7ychfMmktSObHLw1tX9PZRtspZ6qCP/VvDk4JVTVawQaq1o2aZ
2ckAdrqxqiR+dpUSswkw8T/hfi3YgNa/+wozO63EAq9HYLHNEPFJkzza49Ax7fKucy+5mLWredTe
9YgIBD2w301kL0P8a3+MMwPLm7TqFvNv2cifSYpDWzb4tK4VUtuL0myV12zAlHVwUl4ncxOudQyI
Er9T2UzHhghI78yTbDpaskvQjn8yyfwAjSVTjB45oGzTO+cqGGK7q3/i9UPRA1RwDeafOMQy2uAm
D6Gt/whMxzlWRhjcCmssNqwPJeJ5SmKRyyXlTzbEnraTbqMz1Dr9Rxbk205Jo5+qgaBkk1btjayV
sgX4Pe5MUIdPmoH5kJzijd2qokTxjUQgEmINjjp2VKunSCO7pWbW4zTxnbt+HD82DqDrluj1U3EH
0OkD23yvyQX1NAdK4uyJqrX9Sth98e5UdrtV6wRkOnDEN7JpGzmhTDFqkZdMYB2iMxs/a5HOZ7AG
lh4XcysHnPXVkmN6oOpYWOirDkH2J4jP6dGO9GTBl1BuHKAoAMYqPCbGIH+QZ1JivvtnVA5I/4Cv
KWi+GSuEl0I9zq6sD/ZmCBM8knRqswBB6GyLaBepqjjFc4vXhKA4qOALWPU54FG3veDwZRwbkzBQ
mwBtVR02CrNQ9Rh8QCCDsTG/RkiFxwutSrx1hMJ3tYjRnasW8g0iD1/vmlSOdOFWF4O+HEOcv8YO
ZOG6qXOEyl3rv9ppUXx4NVgDqTUBFhQBCqk4oYaKcRAeWMNZekLqTyAjxrZDtvUJtpKtuuGmMoxp
baep0kD8VolzoH2EUMJ+aW0zw0/y9MWteNrU3tOO0VCFZ0LpZD0R7b2lon013Kn5Fc9ZKzZfn2WP
tbNgs3wdLZHsFcsNdkYq9Ee8xIOl10bRpxD2ohYovScBpcBY2/vcVKt4NPwP9F3J/08kfU3FqYhJ
0yfZ38c6MgrxNG2JcPlWMSnuSrV9rvHrOqMLbS3kNGPe7wUdS5xlhPZbEV3t+YdE57ZVxcOYiVM+
VOZNqk+3dfdWDXkG+ouuAeHRjdeN6Vo2CyNvtpYDGMoYNHFRG9+8GFaByJnKTZ8GtYLiY09ySXFR
eLu3wSq8NwS5e/kRRyvFBSyF8pAMJ9ljGWw+kMHULBgpZYJLxKxS4kBV9qJrBP/EIcqu7VVqRqgW
qgptd9TT/8xIQIFd7x8J0Dqf8kIgYMu4HIgiJd+AdBqXfy4oZ3qzBIrzz3TZ9zUws0am6H5N2St/
/NeF77/Dn+t53YTQ7deMr2vJM2cNcIU8eZlpi26IyICB39xneY4T7Zhrz07IXgZA11W25AE96Koy
ymfZCJ3yuUOY8+E+e0TRVu+6fi+bTeLh9aDjqiabnpoWq8lFtTIpUF+JJ914wygvWQ2u4exl0ymz
E9Ij7RPe5NXTTFKS3bHZ2Pu/PkQZ290PUWG8/T8+NKWkgt24JzWO1PyOfY+3huZZLYpUuAjGxs3J
wyJ1JRfFLPQ2EUpBb31eKdsE5vTW9tThvazYHs2Lo+cEiK3bgqqA73uPNaH1opkHBkOrFj5wTjON
q/WA0TopodngMQICd5ZntVvj693m9XLq9R6BvktRxMm3MGwfpxYPusX9GJBmlgMqvMQl0uPdLcJK
ed1FunVOmgCjHRwy94LX9FkOyClyslEq+VPQOo8Ab7GsmbTpVhhJuW3Ry9orlRdcqU31pHWa/vts
8mToqf3Ts9C983MQZBb/Ca/1Lkk9xM88oMXRLkhxSD3VdrJ47brxs9+4f/qHrLd3Lk8UO0fvvxZD
M+jY0k0e7rT/icDvq6Zs3xdID2uJVaD21BGGtr7ghYWGdJxueoL/YP3VJGfakwSqm41q2M1Sqdry
ZSiR5JRnsi+o6SNhgEEuygtPQ+ytGx3Oad4W4zcNGd6F4ufagxrY3OLcUYtgVpT5a0Ct1QrHOV64
Rdqv+1R3SS+F4zcC5wPyxuVLC2XwIPvxQqff6g+e01b3/lL3SMFMP0AwghrHOWmhxSVGN7aSPZQ5
WOV5IAUlGNaRgYuMo9UHl+z4AV4N2ehp3JglkqxDW3a3PoOPOvZ4RZLjKZZIXn6Lwmo6jYXX3kJY
9GjTudbyPkr4IHQ7uemkUm8hNK+VMmkgacgT7QVo9wXeg8N1UN21lO4SSmPexhp2tygdcZRNkD/Z
FkuTetUZgXkjYZctrKmx9o5KcMo+BuZ1nLCoVXa5ScohuOlNEe8npfTuUk1QP/NV5jT1OpXroOj7
6JJ1r8G8QgaGRu7RTMINN/VQHV3PGB5Tv0WMQqMgg4TDTY+p/hQoZ73p+meHOwpvRGHtbFDda9l0
C+s17Fr7MdPS8hKO3LCyv9MhQ6BLZhw6FfUT/O3bnZWaYp+I9Idc2L6WWBys/UVqldVeDlhdaJ1y
Uz+WCaqjAKQQ0UvnkE79LoPmCS/Gg+2xLMno2M78cBlucPBLbj2uXmQRnfiWCSNf9fPZOPfJUaVv
/pz9/8yzmuhRH2EKFWXjfmgmaLAwTn+U8OAoqavOBTfI+tgQK60NfAcUjK10szFQZwucY9jipCEj
rntzIGY14wQdril69dTEXEUahS9SuR4yMuQHFVfYr34j8MowrJ9+Zh3bKOu3aMTy3zUzFZrlQPoH
SYP0BHIOjfb5DKUXeJDzmUIWAKsVsE6wMF5CZJXk2jCqmrsq2qY9EIDQr/UHKc4s+1W0OQ44WBGY
iihCb9j9CAYz/aGzVrqDGJ4bQYzRZhka9VM5Pf8zoXLjb3mYjP9rQuP/avHcwq+D21np/HiVYWq7
lffvKLzi2LRtvvi641EyWQkvD/cAr5CjENAxiOC6nwmbtn2smrwbY3TO9xT1fsuosWkQrtKlqFZM
jLhULBWXMHWwIC40K+AS6Y+UeGk5eol3QZ2tPMKeWqQp31lgadZafi/G2K5U9PfRvsF2L/HiJ4nS
k4euB57TwSHFvQVIn44WdxDpZvl9Kv1pDb1wpbJn+syt0F1yr0WXckQ4QrFCY1PXhfbcBLMZ5Zxt
mGHZIrGeBbXD58QhqK8y40W22iZZqP/VKpRkQmofuwi2lJ4tMBYN0wQzTbWgvMb67wYgM/U8ajcI
EPFSLYZhkbVdc5bvWD4EXWPT58kzvk3eNjd9wOVlVd8PkTui9m2kytaYfRfkgHRgkAMtdOhV3amg
zrTBvCVV4J7jRH8a5pbvuebNtfTr5E3pg+zyApjhVdKYa2WMsuVYU/5R0H8MV6PWwz+Y23B8vOMs
hXUUicKIPJWHzFLeqsQtd9h/iw2y0MMiLjyA6F+bjK8RudP4GpBnWJMAaHGyR+r8vIKR8DCW1ZTE
66qvSBbmiCchbiR2OpY7j2Yi/CW3UPYzIoU0P11FbSN6iQH7NfQidx2Qjn4tlRAa74TmI6tKvovS
3oP+Q4iDOWOxzfWqPIy9Gz1gJi+w8lCbt9JwXsNGeL80my1LMdrf5YfSYfhmDBgQyrSBr/f1BUn7
4BTn/i6cW7JLDsr+iVRcLzMQcjRyEQie++SMguwR/PQuW8sw5eugEvTzCm9/VEHn32MYWyuNU+qC
MqwKd3jX3OKgxahtizbMLyDSkoXwq/HdUi11bdRVt066UEcnKsnPXwdntmMiCrBOg7v6q/ur6c2z
gi63l0pCxCgHcjdCyDPwkMbE1N00M/ebGbjASFJUW+p+gC08WTXW6oX4HiPk7iDMEiyEinkrkMlg
kUGg++rDUwCrJgumVt6YERBP33hxhBgPaDryTpi3q97c/Gv0q0kw9e/JX58tM4RhUR84Ewe6F3lg
391nnnpvyJ6qFOZWCJZ0bWZFfE3tMtj0BPfttkVh9gIQaLaT6sGwLXCY047N3KwUJDNx2g7Xaqb5
z4WSOXhqhs+YXGD1NHeRJd9pQDGu9/nuSDEN5slWDiKSbO4dJYO3Mn/AtCvjKUve5djXj6PyA3ku
SIdH/GEXFXB9KeONmzRColr6bSBBCV4u1h4bKmTbHIUHgECtONVUMfnfp9Hz6CKoRUiT/NCJMEDq
dLvWFCXaGMjta5To+plGgRh89Si7ADP83eXQJY1e5awujn9Q1zVPE0Czp7KHy1oa6bOpR9kz78b3
DP7HWXahZYYWbSXAKs6DmpNg4Icn/Fx4sJ4yPGytZIhXHpIrb3WG3morWnNf8Yu9OaNzAsNWPKk1
mUctM4+ym8t6e/khswyuSAUhKK1N9lGyQICLfSLJYx7EbFGD0OYmrkH3yWyYlCfPPAGsxS7FTibH
5IDsM4xR7NzI35PLRAVqjCbgZJMO7omcX1y20I/wDdjLJkQtaMXQG73eHP+epgVQZOQ0at6rEqOx
lwwMBDi2etva0H5qG657k1g2ItN28qOB8TNouferG1EFGgFNuSpMFzUAow/suD+Mpo38cStq/hYD
AAMM/hi6aUiBCffQv84G7hFFSfwb63W9CAChXeXLNBnyCEu1Id7Lphxga63snST4LGCJXt0Kl6e8
jcz4PBLOLdmfIVk+NepSxpuidIObo3k7J/CCi+yK7XMCnKTRLJKuemHh9Az6e9GgJU3y6rvqkGjN
pi64AQn29yCG4q1Kpp10h3Itcq1cxV1J2ZgI5AE/QvHgTIq91gZi3aZx/vRFDnpF/B24/gonP8l5
0OfDZWLlytpGruykVA2atZlqvMim5Rbd/f37NSpfwEW4MHkcqoUlMzUIXcfbsC1/6RmKPktw6flK
M1BbL+bqprRsdpVhMw02mMzZ1FmluH4cIbYVvqWs8eVtyXaSz/o6gPrBhhb239f3XnE/b6ZfijHL
hwR67uwx/atOat8gh2ypvrvqCIAWvJMQeY6T6gnJY3RyqkzZyVzdv5pzzCmbGlBUNA4Uf5e7DkFp
12kn7Je0U0s5ads04ptsyf5k0lHPlqcpxfB+UnAxbILg7ClocTQ6jldOVgVnKxPsluUIShbemip2
seCRgN83l5lkPOMNGK/h2oON7oysF0O+9nvN/iydRw8o16/KH+MFyGn7JQTGx0aEqCYqPG0/JEiP
dOj8XOFBkbcljnnHlvV1rAv7gVTrsMr831SyjHDxz4mi/Oae10Pu5j9DCnib5k7VNV3QQoPBnTYF
pNNRoG1YQoSxl0TetM53jd4at5LY7mr75jfZ3cZ9s+0qL97UMws4TpNqMaQGZkbgq1+NsAGoGfdv
RZXlB0PJzGfbtUl6gInFQFBbYcJiH+LGFs++5p6Uef+ZdUJj11D96Z/n/9WPoP0TBp2i/F57aO3D
kb9VANRsizdkXtboxfNaPxnRkD5XWa+tGz+gWgUc9JmE+nS0TJUK/NwcyXNjdR0FqLcbFva0qdwE
ds3MkO7zg2yWZoQ+laJ8dloJUN2DwYpRo5IdwOoHN7uyQjkq5/oOFg0+qILNv4KNrhWrURXl8qtP
5k7g1MBL68f14BT6JYyJjOcnQj4prKWEYja4uvtTMg80BiLqttCNg+zTDFXf3J+6rM2Nrd9qMLkq
9NgyvMZWRCvaLZz7gF13xxY5zIVvRc4y1YMKMfxu5bet/VPJeIIFglDPRaiLDTml6qCEYUpOBOot
5GWj/H7X41X6fLrIrH+qG9guTepVtiyyt5uCEudKxZgbgSIeZqPz1CuEsuA2BuyF5WghhulKhnkX
KZTAgP1l706S4zSbWT+tUjx6ndu+FXVVrfthrE960bknAIzIGKvKYjJBDNfAvd60f87yqbp5FDse
h96wLoWjXY35aR6MwLogM3yVYY9HWuEiaCX40O0QroO5URN5s2xEO7PAXSaxm6MTdNUtLJr+MrUp
oMcgc4GOJs8Ys+cHXvFIa/0TyxvRNzYk3VMMyYDoHtQUsAEwvvOEScMPySxtY11mP/3GDs5+6pIz
6WaPaWv2+DL0nxUaRCha0vjqlibU85jdsWVKWPiR4OtHdTpOGuglJRgLBHKGe/6+QUpiqSMoi9CO
6PeZi2CgUTXxd8RwScZD2zbt9gbRD84+OucrNYlUGBWBuy/gGGIrkILYsE8uiI6NExb+Vm6QwmiA
GOjU+UOvTdHb1K1NtC3fHIr251wHt3rfRs0fsgNyvFaLUUPm9Gd5MLN0OBvzQTbTkoT5VDgYehcZ
BjtaDP4U5UjsydUKxKlvJA+UMPUXzhzEe8TkblIjgbo3P4HmlNXHYEC0pJNZGkclQgw6ddr3huLC
mGJLit6gysKAl4F0MfhfzU7t2o0RtR99EC61UeMdiGQyIXNFMfB+75ZF9VCoJdCuCh5RMuN21Pd2
/gr9dPwJziR95Z1arNMsTM9RZsdHhXr8xh1IXiYFVkkAMwCABd1zWuBrHwh87S0/UJaZbelL2fwa
GKi4EuXPEy1v8IFpzHW1PhzGlSLT2GVmBlsqdxDRZYZpPqRzfl0t8j3rUH8COQbDd6wfZMSIbEOy
oFQt9ggutcFStqcxF/uQBWSjx5MFU7dqcmUXCbNZxpabkTVp9MeuTn6RKUrP8Fu9JSJ6CmSNBtOe
+TWtzatNlE0rFAT0i2zh7WMcYn0ib4YTArV3FFYXg52+JX7rLkJF1UlXCe+oK4FydNDpHfay3YjO
BoYRlu7C9KYX9uTjsh6y4i3nBc1qxYMjm8FEvs9IlP4hSq38zcnI0LrVq+1W/rXxvDfZ62UepoUa
hlNTnegrDUz+DjDGRv6/urS9TlGjvxcYBq1EBvEyn58ObFBBtFCEejQGs0Rntuo+a3jkobMi9Zv+
UHpsU0RvD9d67K1DlDbG2q368KMc040VY0EC95O8/hhWa7yNlI86i1dYfJPoSYHeVrlnXWKELI4Y
1yfTK2Ay5IPD4rnKW/9Bn99BVtj0K8dhI4wvX0ZtyDH3BSbOy2p+BwFV7R8Jj9HqZlB+QI81dGOX
c91qZQFD22RZRzAoAlQZ/9WW4wMJf7BEAokCg1SCcKdPBDMfWXHFM+REyFiGohA/GdVnctOSDlth
gRqoG5IG1bqkQptluPdXE/lCq9ONBxViKAaQztW1/d+AuZynLjUNJIOBeqhUB1jrUtLuae2dcnQE
NrGimo+5KsQSsZ72DVNWSCBu4/2YfLG+QxB14nEUCqtf7D2/wcnQ37MGuaYeV6JLAaRvSqzvZpHw
6M8vVRIJeIJHXnl/A2e1oxzRNv0uFwd5sKaqAeqaVve3sJwxX6MOBuzICoqfTWoRZfnid+TqB8N2
7G+dFWRw/EFt2ooFSbs2czIsVXVKZtrEEIrh5jXgPe3ezN7yyV1b6NPZz2kJ3j1H16vV/XWf2NEh
AJShATNP6pMzTCWlnhFfdrS81DE6DHWsGm+sXVj1NSx/kZ2SU8ELQ3LwrV4br7pWltf8t+yQB8nl
x+xTJY/bhTtpFST7FLS/tnpR/s6pk7QJhhwGSg11mwf7gP09JswETFMxLyXtsZ6zt/gh33TH1J9Q
maV4x5IHu6ZcJyhPrGHioec4zc6rCl9FBL/mm9uj1WvyNekZ39fo9N+Hke+gM+Lx5mZJvLF5JZ+Q
w8+PKIY4mwaxnidz6MNFV/pPoMNtsY8ddADVAkAg1qwsGp5pr5Rm8DcOuh4ISALij23PeEj0nG2H
JnSWU3I63Pgfjq53Z1zABc7WqKsZIizeRsUNMPUGgmHOTa/QYmxd6vJBjtbpI5nh+DX3ouwKZPAV
7fvkzbxaAU+3rMOpWVA8NJb3LC2beiQcnof+PiTHocBfUZTxL0GMpRMA42DpG1lwkNPJGehrFabK
3UIXj+6WR4g8S6An7fEeCdlKALwSuoKYsS3RnJaSZxgVlmcDBfyvrmAebEKtPMPXtgpAAKxrDzI0
hTQBt09Jva2MRWFIhXs1ExXyLCwEtmH1V57k7T2s9RQ0TSrL2UJtTBYJ+9gVKKBijX92/dh0pXmd
hq3MmNfOOO0JFSAMy3x6av+nOad9nC5S76N/TXaAEuz7NEwPigjcT+IAZwJHaXrurkl0DNmchMIp
NF5ckvA3tlXxpCt9vR1UJNXlm9y1ij/Nsi+MF7jFt5EX3oOVN8ATIPvJeCzC0fdaF5TR5l9HjsnW
/Lv+M1NL6vSap9lHnrf62o8FrfksRzT66vvhn7OvUZ+vdYHResjb9dq2CKI7GoB/dtvmFSfXeG9l
OAuwJJhPsd4NC1CR1k+mUjrP7n9kHr8XlZ/Cz5tTqV9gDEMng1Km578wGrKpDO9CXZq5U/ycPDjH
YmThwM4KwnbpKFf8GJSNPcTmEViLfzRrfdzWDgiEzhvZWZl1/GrM6CHPzrMfPXSxWtPmYimAn04t
21utieuQBcM5zHFZ9+dDO44KzOXyUfbLg+P5MRjmVFka0RisxeSEQLkpOowi1A9fKO5Kqburm6G+
IXHiVsoCCmIp/d6wPtZaBU487vd3nHjc+XecuApdaFHh4AsQZr54hhJPF4RIDk/Ak+XBiRVyP26c
7lJwCvc+rZkpP5NLimWep4h4tj5T4ivGZ7IHlhTmL+2gg+nLwffrofmCBtqcVfVsXFfVBnuGst0A
ILFvPaAXcJSm+GlSy+pZ8TzV3w4gHGaVY+WIpRt5rSFdovpWvAC4NC5+a3yX3eUQ+ru48XH5mWfl
AVaIemJ/mMJ5MgjU4aiF6Wc9El7O/ksT7PBlNEXeQwkYhmSfC2i+FuIsd1z6DLpuM9PYfW3KEGSZ
yGLMEZMccSVBrW3Lk5pa54nbusQ0ReAjJ0/HUGAr7GfVWnbeR+pAP/6rKSfqUQpDBMa/depKzKiA
t843wNf/PSQRMC5yR8NAK8VG3pmEvrTD0lzVWfeW1xkGnKFWIbLMpowizoyjMWoXDtrsdIhyMZmN
MNROsqnoGrtaw87ybTpOlCr5jdoaT6YhLD/0NkS3TSjdqSYYeMlJVQR9X34UsVFvMW7Be22eRrnw
UODB96w6cXX2zcJfso+oD13fBOs7vi5JPOtoguiuZ0YLuKOQktJW5url4Z7hL+aFp2n/DHxl/TOv
A3uGGSiZ7jnU4sUQnmujBP2CruNWD5LyFpmgWAIEIX4qLTLFQGW+WWowrFAgac82RggoBsBg7kAW
vw+huq/QQNzFlZpvlQbnvJRyN+KPFrJfirk12SXfKteZHjskJQjE1TcrZhNSU9xfCaJlNRXFqjXy
F29y0VJU3BRKsjzFntxCPEbz1oKi4PlfI7kicCG0+XXp7+pZdlVOke2wKvK1BneUYO+/PyavIGz3
bPQGNs+J/eeiX5/1wsTYDUr5Irtc3gxrlUBhO2n+gbcpJGS9hxJWjdUBIQJCrv/qN/WiOhRI9Lzo
SXifn4WVstJ8EgKyf56flToJmrlfna/zT3/ujcm6gNm0RdojvMFS6GYX4Hbehyaubi4t+I1b6Qzs
ujnbGC/9lINjpHbEKwFkdDU+yw8VRd1sSaRFaA5xjYG63fKuAdroVnglr5htq9oNVq7ezjs6n42q
G/rXQOv6dVX0VIONHEafolorCTvIfGuTCfTFUYXC4R1/yqchL7Une+g+2mkKT36ia095H3YnM6xe
sU1RAdp5mbMszLjYyrneGaGdfgvjKTiMwAQfUjVEwinL4zcC748icJPfA5AZ3ymTnwEwceTLcQTz
MqPceK6nH2Nbr08aYQc6e7n+7ARRuUjqPv+V1Tsna5LfBG2/eBGkr5OGjgKVhP4snEg7ZGybt6Nr
1U+kEBVkQzTvUgqysR2iyxC2CvKtvgqeuB+SfGdkM6mGIu+1C4zpOnVFwaLLmk3jq7vTsnqR6xpo
tXmAza16dQEHA/8HifLV54BSe6h6YyW78nmanJsrw0cHG/og++UBJeIa+JHa3ufKPl8PlWNWRZiv
oJ1ILQhssYMx6GBF4QvOH999fJ9+hkpytIjb3/1sytZ+qGQnRx/UM5YhiODoQU8xJlvbhVb8rNlY
LZrRFyQZdDB/evSke8UyQdHvGXBM/Qy6Bor1hxRy7qCmP/hjqYF5ZkNSTO54/lefX5rVkpK0uZad
uQ/FcQq0Yx0P415rozfgF/HFwJ/lIs8s4QUPfvdaImt/QaQ+vsgzJaw8TOKK64Rs1w9j0rcFTi/B
woUE2tRO9jv1i9ci9KpXF5u4CitYCg1x8OR7RbKL03w6xW2AT4fnW84hBdUu+zprmHDmQIcOUda9
EIN1VfCyJhygkAAtZPfVJc88rCVJYmYPsgWuW93p8YC2DBnbDfBdHcU1kT5YZuyB1Aq7iionZFjZ
6UwmUqd4jk3r1LR5walmd9JtO19ZutL9y6i0F1ay9jRsNtUyR0JRAU6DbEP0WOq+cc7j4tX2SYii
QvRpY+m3iP1Bv2S+H5xVFdK/1cbKJ0kBSt1W9K6nabbV66TYdRFSTp2fnAzN8qhqTfWmNhVDLMIk
WJpuX0F2FMklizRc0nwzfhV5YuzZrKYXfSzbc5ah9lQ3KExmHXYRsVmiWTSfyYPbgEm2VJ6BvwZk
U7Fba81GPVrKyfjz4groB9Ym+ecCbAbrdQYn5T7lr6uUpeOtSg/bWxH/ykGjnfFN1M5NV2UjbCvn
h2Kl1lb22eGgn62ckthCpLh1pOWLH85VZmIuKHcozkMjjhb5NoA2FS3cQlvGge/81qPkSEXM/qFN
3ZtqB8o3nSVwESFg+95PMx3eoGhG8HoUBqpAZWrVt9ZwphVWYPX/Iey8luRUtnb7RETgzW1531bd
Ld0QMmvhvUng6f9Boq3S7thxzg1BGkxVZUHmnJ95ilt73I6sXx96Y9J2feoYVw9u0F4YEVbWUZgd
XRQEIYZMeIl1QXIsoRkdi8BbOSnCWd68kXufikGDopasczMlXYvI0XZT0ZuvenAsQ3f4IjfGWWuj
dtn3k8cav9lX2VADyBxRUr86DiplcaU65UcaooHUx4O/G6oOOHXrY1eFxy9ecIl3xhF9bEhliORS
zhvVcA04b+VPWcKMHAMJJQC3YHHYATMIzJrdVDnrdkIIyitMYkeDtrUEvp21h/gCj9juiG7yqCOy
iumr5cC9nVAFclhDvYss/IaeJhqL2cbU2+TfVjP/BW4zvCHd+2+WOuI4hV+IG4+X+6RMztHkdF3W
0SG1Au/cIAZRwIa27VVTNyh1BcL8kk/vvBTjd0SG9VsWQc+MRJm8dyymIVVoHdM6WokjYivsoOok
W7GsY8GA2cNVtsbYwzFTHV9dVBSevUE9az0MrQyKcd1+EJZiIJnK+7LTth9OTRQLr+5q61nVNDzl
MdCmbPSPjsRnLzhsU1S4MM2wdQndDtC6J5TgxRszsPw96HLrhK4QyHodya/UiJtHHbTMBgiPjSoL
zzI7d8MfJfYqQcFafDXme0MnDsniWT0Qq2NlGiO+DOgS31k1F+YqVAs7ubaWvgcA2jypTMrXYtKt
vRehrEG8mjVujBm5pngWps4zHeVels1J6A/7Emwf6ebJeCYq22NfqLlbxHOcbYfnETIzw4huzUDi
c25FHtx+1JMYRI+jviTd85Q20dHyw+6MwVJ0bGyz/bxn3FtFtDUiUZ0IQPc7z4Qy3mPMt7aTvvjI
3O67o6f6P2LIVsHYsqiLTPtYVoYNtUf70Wl66h4zypuAdd9FRPZK6f3gqyUc5WDxStvKYieqfytR
V49EM9sndOc+ZLUjPHfbMEs8DKHuXqaWpGJTZR3TIJUAoVZ4D/00eQ9yb1D7t4aQ8ElWNUFhnV2R
nfDXc656NShQ5EJzK4uGYjhXbd7IvaAOcc1Sxm2yaJz/L8KYrLPyXDmqTnKQvDJJJPvUVxYrHl3b
zFx+TiP4URNRePzNLQowgmVutzCPaKtQ1yTg3ZLKa3Tji2WAZ9EQZD7LSMO9OPl9/mo0r63dYhZE
8pnHYpi6e5JLD9hV9TuF6bh9YjnOFjRHi8RWmiCVIKZDC3VtD3NbvAxaCwAF96df8Eb34Wj2XxsY
SxsgLBN21W53rab0GZOLZFW6uvLN17OTEzLaEY6ajraQobU0+G7yO0Z5p36A6/D3HtT7vabH9Tfs
duRxdtl2u9zp1UOv2O17NGSE5DhOjbF/0+sGq3gnIiJlJGSzuA7yLcGGjEl1Gck1PAM4+qUZ/0S9
G0BlB6/hZp62ZuHUv7k2f3ugfLC9HKgPwaQV22q0iDfMxSIk6u5oanqSxQnJfDxsRXaVRceeHgpm
1WTIiDfnPMc3ChmGXdGZzqlJSgyddCehrhnQ4al3g0LsRNWLX7USolDzp2s5It0mu47Y8XzTeGyj
NgherK1/DaKew5Ggp60ERwVhY4tn/NlrGgxrZJ1s7Zm0vBceb/th3pP9gtLXnzy1PcLPB9Pv5cPe
QsjqXUcqc9UiA/XQN2ryZpf/GDr+QMtbJPSvboS+kDRHsaHYX4oo+7jbrOA2CbBCG373KFEgudT8
fxejFdl6P77+T2ufohFMAqjbfxrlcuRHeh5cRvNDFu5/CNvNp5WD48Tuni3jFRUwSQrbfZCqP1gA
gWFc6251SMcsuaBMllwm+c6Tu3KTWNhhj/bQbYMKeu8SWVDV6u/4gYwk6Hnv7NOy+E6asa/PBSbP
X84LtacWnXdI0+TwF2GUlyw6Qg0AFQTGu1WQJuMHMfN4mwtBwCmLy7PV5fbOj8v+bNSpCswSCZcS
HBoVsnbfelr1lFsNmKfYqAmtPZG6yG+lEu083+SnCKttA6kU9yYLxYpeR2ULXWgfNIsGw9s3xS5O
WpeXTq+MYuXmOrFjrSzhHwqe6ogQMK1BFRjFYaiGKoiUtW+qtygh2otXav9SpNB1asvwmLj+J7mq
e+a4z7qqhBJuRc7KTXiZlWnVHlJJlunMb1BqxhtUg9iBRuLPbHFV/VrNuUkM3ZFkD9LTOEfh0twQ
12asguOgBk/iT9W9UdZhXR8cVTV6kv1lY55o+mYKwUhUBeLgAFZ2rcyiDfWg7jA9zDcBevcHjSzU
qvAb5So3TZ3qx6Y28Rn+T5XcaxN83VIzUq7Ii57I2FeIFlLVE6wqq7R6RM+EOHSvX+JO95/cKFKe
9AAt+sKsw3VjVf6TbFD6od+4Di97WYyaAW/Ayj0XafQqc716YDqHmDT2wmWJVKTYRtgi69ESxWoU
xngLkU69jVo03pyWnyodLJ3ZJg0peCmUfc1xLYzO25tK+g2h7OdoENVV/h/NMsmOVTV6/P6IWq7/
tKo9BI5+INbbbPFmLiEQkEAoCbpja1Olu9YgGL6Slc3gvaf8/kwoyH3IIYLCrvFcYF0SMCLksMBq
XFvr/hAfUrIrL9XY5xc9VX/mBBrL9mAR+XhvG78/1QOaGpItC3lv3Bq1pe1lEWOKdlUNWQuA3G1f
cwT/M7DDFnAMuMNkxr3BYv44IXJ0knGsagrGIxirBPETLEFmoICbWOYLIdhihWpseU5dt7pAoP5H
S+1y72JSsCmi2RnTDZIH0ow8qSiFTB1ey5xUedHZN6WhZHvxyDtBjfeyR21P9kkNMTM34vylc8Pk
VrKofnGaC64T+C2oU/6vohByMT01e4Uk4Ed4tYsQheElPeRNV/Co8bPMHAH5U7Y99M5tMhBO4F9J
IM+Nnl1hgkSwcVMDeN9tOmYw+0I01mtXNfl+qGJ+6tjC6KET1olI6qyQQlHYUMD7Fl7r3BfF6ObV
TNdRQ0oMGVRisvMngsQWkxTSlLP8RK06Jzx7XmCytZu93eNofAP3Fzek7g0Sb7l4RK/DeBQzfA8V
gfWY2d2JGDZYrqBM16EX9Sd9hlPdWzt/OmhdmvngpF8n9MdlYFEJyfat6jHqrnOd/PX+V51syMw6
WxFSE+caqR8UVye464XSOrvOrz760mDxQco929aGmlzkBnUEFi1yV3N8rD2acANkPgd9+5HVbrDD
XMXe8+8cP6qiu/pNgV4x+jQS/Qe27+voxvF5EehmEfI1xER9h61Ps9LykAxvywozgEwLG+oCdjz6
SAN32JLoVM/JlIob2W9sNOyEkFsaA8nQK9KLqq09SbBZHoQHnwkW4sAAB33sASUpOJm8+tq6UbOS
Rasr+oOi1/bGmLnBIHD5tX2jP7BODc65b7kbJTbhe8NXgG+gOW52ksDGDP79mGvjAmxEEB6tQujF
C/QRZfnw0pbGW2LHgLzHqv8xTYKfR1G9atvmGutJgCvVRV+FYfYKZlI/9wh1vphOA4yv12fHIkDr
KRYGEBmd19AFFha1TfhQTgTZtTkmrfAS2ZSG8E9m5qgIWuB8OaXaWbIY9GJW6mcVcypsLSIFrZ0h
Jk4k96eG0Q1ut0mHcY1DhL9D8JFFx71ciQDKnJ6+VqS4Ac6MP8x0tqjuxPgS8vrcZb2GP1KRF2em
S0y30FCz7JXhhT7C96W2q402f7VwRzhlBnlfUYXk/HCSflacZOUFcYgwtHqolMA5h7bT7xIYu89R
GGHPFlrG97JjJTavTpm6Hnw/G7Z1VuS7YU7/5sEI2kf1l+esmmX6oWsRi5SPXZKc05MXWuuBF4Zf
9D9w0uw2Zmz0lxAxOKze7YDgLQ3oxiG8Fcbvnd+U+7BP+0NfDsEXOF4vGThnHXj8ZcQh9CnJeubV
Q7eqSV8+qXNVHtrEfvx2hYzsZFrcT+Mvm1LXfdArREljjHtlfS2r5o2ZZc46zGZ1tJn6EM2bO/Ph
XjfVNkaANqo+MrFctI+1h6P9knqOTcdAx2ee+PNQfIddBgVzRmflsYLD0WBsJHTLUXTzqZvDRszR
kTsYbVYLFX9O8OrxsdF0gLtlCIzUbaF35FXAKw6Ip9xIdGfoZeXeVqZfuUYQH35J9FwZtbFudKJj
EjprhfnvooR6ylbFFSheiTA7tJWegzGf841BEug7DOYfxty5xobuFyzQxVvuoaJZen2xzsmz3BSB
Brs7Z+rue6JR1lHm/qcu0a2fes9cG8FI8R2hAAddfEFCcyzb9ejp2X7BknjIH2DZwJMQHL99IhfZ
7IDQZ9E3EzX7Zb3kBLG3aZDqt65OZpJsm4LolNQgvkR9lglQyS6Re0t61PbVa4GLIEnvC5izA1JP
Z5Kn+j9OaV2Goa2/GhpLibh1wdsPzO/SFBgSsnyvOJvZ+3rohkOHZMKLFaTY0ROQ+TEklWufJnN8
MHLvLLo4WKh5EiCVWFCXWwf7hdRupQxeuOXt15zlBoSXv8WY9F8lZka/ssqxOSe2wI7ADacUvCSz
f7L4ym7SEd236167Cqzat2FQ2W9tXn9zEozDl4eSXnXepUWka5eHWbnTZ+uOUAOohxC8OJtz0Xaj
E0ys4VlBBq2wpvDcuuiiOm2un2oj7i9OLUrI4oX67Dgkp/0iTL4NOHZjUkuwstFZi8yEoxzDHKvW
xosYQf0wA/9drOdGFBqiDejWZtPJNJ7ZoYagWJDCS/XrMJcGIvRMmTABirCrH1Xrm1aICU36djxU
YgjfAXvsxjrNv08z5dd0q/pcT5OLYEj5TdaHDdZmmPeNt64aGJKFY69kQ8Q7jynYaara8ldrZug4
6Fgsx5skZ2WzUl1rPzVG9CvQ2u8Gv8jXPMjBVjV9+gUEXgm8daieemWIdzGijFcnBQxKKso5kVQc
evehS5FDN6PO+dr5gImAYoSXyPXUVytAMWCuz7zW26pZoh1kcSdciGvqEOuHxFHdLU6/Rxw+zCcT
9MxmNKvu0Gb6DKr+T7GJYihkf4qjV7cH8vSAzmdQP88JVBYeK30WWciFZ2/6wjERNJt5dCzSQS6s
CcGXhykdPxwdrHym2e12gX5GiDIlgbJQvIKA5UklaRRhggsHAO8cMf9p2LRhyrO4VY1v4yQM1BmD
6AL8kbgzebuVW4T1h9zL/e73HuzY+gNCi1jJPdnqJHEE+GBVxqp3a1OveMvbb/6c4o67TL+Qg7AJ
nUThTZDpworCbr4MU43uGNC7YVCMKyjx2feQYmK7mGzlAzTAGXrXRFBwA+QST7JVD8ZntYqdR3kO
DEGXgwrPcYghVNlWjA7gn/llm7llgRRua17syndfmS0eFNiAX118w/Zm6v5OG/v2cNSHqX81fCu6
ysNlOjmZD88cX2wcC5ik5NhJGh7OQ8ZBa2zUrua/gKoLbN6aQDMOwUCWpQDCxQhMnM3nFsnQizqB
u6WGzVicKcC20mCmCBhYjLs1T7YSHNqKxwtedykP8DhNT3nsWm9jqAVXcnjdanQ76w3fJPsAzK3f
yGKKe9hW2Ha7j5gaP7RO95SSod3rKbQhUvfo53wu+zzSlnaW4SVe7cNAVhQNDWFaLDYyoT0DUVCf
2xkQXk5YPs8lq05aoFHYrsii3KTZgP7bEOARk6L+4fTWakT68X0I42AnRNvuQ31KTqAz4/WEZfbO
U7RqK3mIrSe0G8yxZZDK1+A4KV/8kLmnHMWmxdOjYVHIHaneuRphD3SZRs4grt9+O7jhfJwFg/0k
pzCeortgcR1tRcokXmeDgjgKRnbLq9iIsNjk1Y/4Y4xVSgnad0UGCTXcWe7dnocOr+jqWkZJx/od
1B4ClF/jyde2epk4B9lNr1d6WNjHMDe9tfwYZLNXCY+CJ3nPbamYwM+8mOdb9qDFYjyofTme0eVg
jMvdz2VWUW8azhqWmfm7tupsZyMS3zwBNz6bY2feGhQgU3Owjgu9P8d/dA1znbS/FNzSw4kkvOWS
y0rMm+2z+mP2PK0DUcX8mSrGZw/4ezmz+adZTJm1NYfQXEGOa85yg8xAu+zJotY6zXmaN/eiCu38
PJZrD/uvS7uL9LC/KPO+rJB7Vppn8Hq1cFxaEOCqVtH8KpDNQWvT/NcunlevvZfBkjObETBN7yVn
uQnDGHaE3A1Elp4TtL2WlnsdD00SBIX3Q1ZZaodo9bwAhpb2IIrBe/Dw1XhAfnTcGzBV+C7QTNxi
ZAUpMfSjPfPcsxGX7RmqQHPWFaVZ9j7VyQZ1brW8Ypu55G8haQZPo/2j03vjQRbkJpkjyQhPoTQX
hU9LlWp2WM6p6K2OdcxaIXcBZaeIEtwP02qV7ydzWZKlVb3r7Yk5hDtG4V641vvYxB6Oa2l01TJ+
S6M0p2YjdzuRH1WztY6yNHQ1M+NC7bbkXoi5YNQ0Jbo4d65hdWihuuggEMzazG4IGwfL251EC8mN
zbSrrBzivTzaTxjq4VjZ+uaKpaH1yLXVU1w6zrbNsmwT4/SwaQIeZEOWJkcI+4H9MSUNi86iz4Kb
NQe9iA7kNwx72z1LXRK8cxET1/wG2ElRV1Vrq/s4cPDT+dNb9qnmPqpN6JzVPxaY2pYMHELGbnxz
zYEM/p89WcfTcDNkEdm9ub6PEWXd6G34y8Ad6ECcH/VEwxmfkVhqtgMqalVVTS9K7I8vjgJcLHbH
ErglxcmPq6OuIsEji7Y3jC8GWng5qaYneZQ2+9OUtZLvZQ8PyuIlLPWvsjEbK/OCquEhms0anbz9
vdHrxDnd6+yE/12VMFeBUgVhYKYOeLmnXoLBewliS9nnzlid/Kg9K/qsvOpHJxsPul9aaPyMO0/B
pF5xdm6VKMfOjvLHeOTv2EHd/MknlT3VsYnWCMLYj4lQeshZfrB3MZhwivGtS7xTLQasCsi8AQ5N
hpvWmQrTaH1YdzlBNvDf6cZBCwmzz5V0Gbtv+hbNH6vXSZPNnFvN84NDDe8cUicyKqUCHlsSB9Us
Ri3S5nW4Zdq1JeejvfpBXB/TvG3W0IvILNgpsaTM/SIbU2TAX7t+6RnM7fAYHkaUsrE78HYSxGqU
XXYLWLkObZe/mVaRrnQhml9mTPTVMhnrIZEzpdS671PpMefwWvMlzLNvpu11pzZDdX2VEau7KX58
rFPHOYm6VgGUkOQg8okm++jCt4yc7CmHgvo8KC7fc16VG72q/We58bRoZyMu+CBLldogHVXV6loW
5VGNFV7QEyhv6XyOFHTUIXXscF7xIpYI+2SbuOGx1zzrYhqeeNTnjV3xNvfxE9jG0ygeZYPXdf05
Nc2lJOt7txgeuYUHpn/GOc4IWzUOBrKjUNCSmDeouiL8Nm+GZPI3gcmkVzaESeARrp/79EaLjIc3
hUdQgm9FYcUffkNKtQQt8eD1cXUQwEOPlu3CnKtI+XZVADpl5PbnQLOMLBd52l8B/85x6Hvt1FvO
se68o8JAgZng6KzU9AIP9M4ewMsFSsEz3gsPDaSdPmunL00clC9FBzx2Ltld7b8g/L6SbVkUq6+d
c5FNqgdGgeQlUkTTF7nJ4dN7droUpuQpSKp0RYQu33VhYpyQZAGBUHRkT934EfeH5sTvhiBMPQl1
LXfTqSiPjSC+9TyLggyuJlAPz5Dum/GX4/iix0Z7KGPsdnPhx+NKKOFJ5DWbTBNoDETpTTHcAuAx
MvtbkM/1KUWEfuVF47OJh8TOr6zmsfGia9SWxRc81iFnm27ENN/NvwQjdkNRn4ldn+i0al60j8wo
2QZz5zzNTkXvkX7Un4uS+QBwWXcGsZIJTaviQck15aGGKPqglpUyKxNkG7Kv1Xaci0tdQaDDc366
wUc3DM2rFRMEwa1nWDmVQsLEhiRHutZTCwJBjt6f2yHpkYuz0W2Sy4XWUdxtPesSSJKg5AyiookC
cW8qcGRqCw7SLDsgxQbuqgJyz7LiC5TgHr41PSJmihvHxL+UkX+0Hcd8tgFTP+uNfwymsn9XnF45
BeAn1rKY2chF2lnr72WxwcCGqbEx3WSR0TU9uTlgfMyUGlCycDgDNfvXj5AqTF21voo4RUC5K43N
6AhwSuMeEUTnn0qvSP6PZfmG8aK96Txb3EqY20dWRv0OcNJTGofZdgnfIzzxKCYML2SCR4lQx/eY
GB5lKB+eK35uPX8q11NuIQkz8cXsY9hsWvgzdKx4Jd0pB8f21r4hQBd3UfwlSpKjdL90U3geKE41
B1lEVbKAAfM103L/UGrg/hGWi65ex7OdDMBFhYXymuIPcXF7GENYLShf0zCKwXCM06OGuNBD6MPv
VXpUdU2BV0wYlDliqL3zXGXRqzGr6o5lZm9MgIqnyFfNW+5kvyxufBaTG/fLJNklLnVEMv9pElqE
5uafZsmcmJpGJcJTohjErPAhQGxvG3k9cO+ZfHBHx94b7nWyi2wYLPX3EVJAo+gLHewg2mwinxDm
7Px31ubtSbVcH9QREpUTGKQNOl3ZSbbmIbnkPrFfTM+El1DnH7K6dnVvLwBabGVRYe29KnMRXPvR
c28D9q6txbSfP+mvivvAh21SnlFdRrQjatSDjRzec2RhminfoZACmbI5uMrpCIGGwRg+CF9xT02A
gZ7fDc1b0d2itH+oVchFRRZ+QaQrfIvBvZBWNYLTyBznMfYNqFVzj8j+5gxR8YOoB2oGpNmY1k+E
FJIq3xpDGH11moTQKG9xaICA5RqRv7QiguccQa12hqLgwUggSnZBE/SgiGDvaUoMXM13kYbWtAf8
JOqjWaOaDFh0erLIwKyFENoP/FPXbqTAUtfH711j1G9dazcQiATzlx5SQBkjHWWOhv+aYXG58ue+
iKFnSoc5XFU1T/7ok6nBSepE+GpOBjVfpJZbYztMEjQILMOQJzcXHuza7Qj2A4aAym2wnOwEFhyq
FQoEo908X+UoAxFItOJnuYE9H2o4e8hCoJBhcKP+lw3gcWn/fI7iB8s/lIhmwE4YhNol0SqQ4xn2
4yWyijJZ6MZ5uipqvJMRmNbe7Pa28EXt8R9frg4sC80anERQgJ71SKIClVbdgiMgmShKrsRLMWMu
ump5R8X/IuDlLrJQEK53qUM2U3aeSxbiybsYEeyTznoI8oJNNj3zYsc8uIpafRnLNF5XwhDPrYop
CN4nw5m8cHQBLIoqp+eaz5VX9P4u+ZHi8HLL2sG/yT3X+Vq3gX39VN3yU63ysux2iCRq62mqw73m
duTY4sTJXkFkOIA3SbO6AsZRGaI0b2n2q9emDdJUyk4+MA0PuaW6HU38+fLkQZ+UH6bllytNQ6rM
U5Li1kPZvOHAInAWehxrGyPkqtJwg+bFAM+ixqHFKKp1Nzd7ZDYeI7XUTr6df5MluQlBoex1rd6E
DZHY+8bpo2MMBuh4r5J7o2f97oZV5NhyGcpK8HMkdHNOWpOqpUH2/l2hd8CDul9L6X5CMpuFvjPx
aj9a2f/jSssR8nJolJFw6bz3+1nkHSDaYLnHNnRxEO90ZlLzbRVRXGFXPX+wJB9RX8DYt9tEBjjg
++FyL7Z9xBHvnw38EK7IGdbzGCY5LrqB//XlaPMl6vlif30kU/ZkvfHeB0zD9c6BXyjPPtrZ7+/s
foW4To9aQKKs0f2fmVrU11T3q782ss4fjGxXea0Al/yf1nvnzFSrK+sa/xJhCv3f5/hULGIgvkGB
CtSnBnleWddCQN0hAvf3teI/V5X9AO96Fzzh0DpEeuh+6P3mPl2n1NAjcZowJvEVR8Cw2bASLoqV
P9jhUrYAwK5bOIrre59KNL97yzrZ+VOdbPhU97/6LZe7n1perijLvy/36VxVUXKH8tz32/x0qU+H
lN70xdF849yVNTa1w0+RWsVrbjbF62Am37RUFNegDopXU0HiQfHDYC8bEwdEZefXc56XvjCd66cI
b1el0cJ23djpU5ywBpSNBSZcG7sf3OVQpK+8w4QH01q29rmjYFc6HGVJXh7Y3MkpIudhOTyaQasx
ooKyMW4Rbo89i3zVfGWlCLUb9vSPsiRvtUMNWrXL/En2J/gOAnBoneUCTqNFe5ba+ka2RuXQXIEh
fZWHy83EQiFBauF5qdJIn5np4J1k/7ZDfg0vLfDS89VLkAgXT8HTT+Rd1K7Jy0O2Wr4/W0fGpg37
iOkqXTNWntumGwiVzMWx7MIzbLJ++QK13LCfh+in79bNUY/NFjkNKz/aUTOBAhvbF8TMMLnRlfFX
GUAqhvX7Xc1KZ23aQ/QQo3lw8gXCb2miii+g375XYDV/eWN6JOJRfxUwUjduUtUzgoblXMcjOkpd
/b3ALN6K+ukXujrPZqCE7w1SsVutVAxQxbV91Sej26StHnyDFL6XXbXe/If5ivdq6tj3AvzPT+Xo
jw+KFausy4buhzGhATOf1SXlxPImdp5VwZwbOxbnQKod0VS78FbLPSL4MZOZ0nYWvBa6+9ibYXF0
eNOziskvEVqjWEgG3iEroW66oJzBevXjvoLVCtCIT5LZvOnaUVGJvrbeGy4r9Upkhviupt1jZw3D
vybyFiGCrQi+Jix24qn5Vw2iJ2GkzfcQUucqbEvrTXNa+GWOpT67CB9u+37ybnmNnATyKNrZs7Hb
0ogKH8IpqK9K6rW7wC2dxynCyjiOVOu1bYlugZ9Osfkcf2S+o/z0R3OfmBO5o3ytkrAn1mwh7aWq
9s+wb3728M2+miHyH3FFFmgaUPIWnWU8olTS78oWMQMC5YjgBCdXZ0zyqz5KveUCWe9dTXwaiB7q
zaxojsCqk1ddw8neC9Gvk/rLEem6TURC8BSNcfZh9YdF1BmeOwyrQt9Y8F++IjjOD+YSpHO95K+L
9D2UzfLPRVrP/esiwvTBKM2Hy4uEU+GdUBvLPphdyosg3uMuF5G34iZ4w8uLlFDE75+kmj/J/SLz
J2kLRGz1unCvSNAhpyb1qedPIi+Cb+L9ImL+JDrIiY3sFf5/P4m8F53HgbwIKzz3ev8kyXwRZfz8
SeRFnHD6fZH7J5G/CXj9R/k9uI6IVxiOmMfSrvKHfN5knUgggZCfdrFJelCdGA2zCnXiI4Ccd090
rrmSHccYclZVGVvZ734CWbSSnTB7/SZ7FnBYwGEMwK1FN5wdeQ7ZrTX1fxIG4uGvfo1lkanpgn73
V8deBWIFZHHgocBdLWc0EdHZBfqAMcJcKTfyPnzW7ocyx4Jlrl/uuXSD8ayPBhiw/+o75LZ+Iyl9
rzahYi0ny8jz6n7XXWTj8lUMmfael9qMJeM8974sETH+Qat2L29hufciJpCtxm60vXeUx+Fk5bDu
GLr1pwaVv/mhIKK6+tTQJ54Guc+7farvkAq+ErNefq6/brS2WaZPZXuVdfe7jQzz0U467DzmD7B8
KK+1kHDuLQCnf74deR0ehcbKFkesKvRDhCz9dpqm+EO4cFwcw9Uu2lycaQTxx2ha+sWKW8Rg5krI
6sl2sBwNDhfFaOyJMDTls1EQm1Cj9hnXjeQj67Ls4DaNWE7MSx2H2LKtrkGA6SRXlgfXCkZWIFnS
tTxocmxzUzDtW1pHwzmVrhq9qEZhP4JCeF9uoLB1WA65t5wacnUHedZS4I2b9Zs2Rst9cmR/riwT
R8b5hoJmjnTwRDvKD2WO7h7bGvdlMpToUeg5iCg+jUdEcQ8jrtrJLyB1mfX5wPhuShINX3iMsxah
m+8a7ql3K3xt5qJOqnuT+iUuiHMR0aOtB9Ccp6hX4wiPZZKsr5PO2jneaO5ksfJBkgxxUT+omdBf
u6IiIMSdNnZcnXjmR/gjcDYFXC2aiyqsvrnoGv0aeSiB/W+k35AoYTE915t6B4DWiXJ86PnRhqH/
UcGweLQjDOYDGLayl5ZWJobrqI3JXl7Q95DqRXeWrSlazXpfs3z22+CGHgvpW/ljDuhf8BfQl5P4
WoEWTW491n4To1FmnuTRU1rlR9Gg7iuLnl9ka4tEwEVeis8UICfznoRafUUYRltuG7V+sXULAx3U
+bbVTnvOzGB48qu+wsC4AhMyf7h5mMYqsUP5HdyHqWyFoGZGH20XG8swlWfSVAugPx4eiDnzpSLo
ddMt469hKnvR/r+HaaxhPzYVR3mw2SBLJoepvN6IfgRw2zLD8J6bQ2XiJJgmLsNUmcL35Wf8M0zl
lXIYUKsmTRmmmKz/r2EquxWOx28T4eW+fHCGqZMZzgvKQNFjxzCVl4xicjRW0FXLSLoPUyIayzBd
Pt08TNt5mMo7ug9T2dp13dYbKu01DiakNf4M0xFpJKaWDFPZbbIJKU7zMG1Ndxmm8taMrqlOqugi
xCvncdlG1tpA3vskW3NkQD4NU3k2OUxry8n28pb+e5hCh1tGr+bZ5hHVsHYZSiDB+7XxZ5gmaUKO
xK/elMT8PUzlNUsbp6T7MB2qWTKJYYoZc4xqnXGSl7wPU3lDUUq2wMIc/SJb/2uYGnoNc24el0aP
22uv9+ny0Ovr6ZlrD09W7CzDVPYKM0c/VC5Yfnk/aIj8fprK4k4O06EuUVtt/XDflHnwMvr1uCVx
ix8RsOtnuSmKfQKTYylYBGd2ke8DD5v7yw6Rka8G166fRNkrz36MSSguUfi3/DnFZKLLhJ8M8h8c
ZHpRsa/h3/zVoxY5pAWre5AH8bbheTh601oW5VFKn5wbEJk3WcUcSoAEinDp/nMVBiVhlUy7yv5D
0mWIcwLfkbe1dMutL6lZ2hdZEtAhjpPSjytZlEcldfejj8Jg6ZGB2DnpKsS7+1VwtiGHqurZWR4w
aaI9o4wU/NVF4DvKn2vqTvKwso7zSzWJb/fLEP1k5l20xlHenEK49Tqo8ev9Mm5rK2RSm+AoLyNK
C9hUMy6fXnZzjKRea2ZVH2QRvy/rVnne8X4VQJvI9Y29DueXX9PVYeUiZbiTZ5RVY2SAki3D+PfP
Xzr/R9p1LbmtA9kvQhVzeFXOM54Ze3z9wnJkBHP++j1ozAiy7Ft7t/aFBTQajSYESSTQfY72aGfa
Uk2Zm2bzCpjIw4Y6FGmifUiCb2oQhGrFa/zYBXLJBKCaf2oBwSs+aTKj1pRb29sBpxg7twe/cI/0
0Ce6+FYarqqkCTYcDMJShngJHHlHOoLIoYYsSuvwH3pNuYCnq/UHMtR0YMP9W69GjKXGv471772m
LkQEQHbfi4mxyNDdWGTJ0YHP9B97dZaNDc/Ej3etqTmPAJuqT2XsnYwgLhleCZGy2Mx8WXo1PmWq
iUsHtoAFSGHAJCWqLUKyH1t3CNeW7ngrJcPhXrFPWwTZkXXSm/05fHBdUFhezVEJcN1nvK0jK7uz
MTSPx2LJxO6jNCe8q8tG22DpTEuS0cVEltjRduInjTymIXL2YgSm+UAV0pojLVwAycjZKxk23kfk
sCNgoBGekJ5ds3GnR8WwID3yOkYIxKVA4LfqSh30EEG3AJM5y7nqx8zHQRWYSMkSKTvOFG/mIWfS
YZKZVmQdTL35fDPF9i4Fds4jDSf9dWLwqJvjQdoSN89AmLXqAjyDKFlh1d5W7wZHTiY1eJHJz8hF
2Uk18dFIeeeu7bLyzuo2olafFi1gRnZqBnzsYa6Ra9YCX/59VnLdYHujmX+qkRPPCx4m/0QSupB6
UozPdZuAA/q6LowaeeW9hQNQJbMMUDhmA554lTNNFzanzjdOetXOq37kbOU30TeEtTb7KcnGB7qY
Xj8+4OT6MI2GdnTBWR+vMxdPkEHEL0pj0roU2AmA8eo5AhM10b/vivmY58GB1JATjoZyGqp9G4/f
7kYwe1ZtGSIUFjc2hZERvG6A8jStJTVwMt+3Q7bKGZbIjelwxi9pnAzYk6GhpKEcm1NMH/TdjebY
DQ8InnYP5Kb0uEdeGF7EyrPsHHM7egiL9Y0pkVx6atNwKw2LeaFSEuH8era0j9I3knlBwbaGFgC5
j2ZssvtsM2hOvaT5JB2pmIfaiju6tqIG6UsyC6z3seSbuXIGOQppNy0YYNy6A5Xq9QOiUszaj34S
JSCvENMvlXsPhEBud7qRJSbgXkCpqbqPXVRiMxrEBMKiVEWounNA7sFblVo6bms7wQ0kjUtFK9DA
6QDaB/nhkCLdh2dqydoYWSbNyllE5CBi5WNdk5+a0s7wFrwYQ6+WU0sN9NHwMP3mtXYt4AZwWx5P
kNzrvmSsZKAlxgXJxX6+UPXUn95a7mT89wbSw8nxe2eq14UT7R1kJlDffzWlLCs9Zf7eI6Wj+v3N
9Oz033VW+Ot7r5TpfzV130WN9LcuStYGBrD+y+zHf3Fadbszf9+Z7k55/bebnXKsNz1O9//FlNJR
pv5mXs6C0rnrp01xvyzNeUDcLlbO3/TknYRlXS7T0dSWoV3juWLWrAOV6JIH8a0sQdgR3tW7MPPW
qv1vHUkWWLBIJcbdr36TgOOMLDDLCoH48Ud56JA29GYfkGMoJ07CvfWdG2Tyz94kRhzgGVvExVa2
S4vS1m1Z2v1jDDJBF5qIWz9ve8uRimo1A3Jtd2v9T6+kjbt5VVW6NTWickDd8xB6jonc4PfJJB28
S0DoISGwnQ9/jqrs3PVTI5OKGkX1oNJdN5JR3//gMCkDUAowhRY4PsS6+ps5eQvKMpVuhKpFjalk
VFINd/f1t/GU+zEC9LfAGUAi4m9r/v81uFwgJnKNQJ7hppsijpag6ANxPWhYlsgitBD94Xl7QD5j
kxiglM8lTn0WqcAUyLBt69haKnUNM7elLlK6/tBNAafsCV17tgA98rtuHXf+c9MDBZJgDRLYJd3/
4IOwiyfk/5sPd3bJ37gBU69ezTjLFYjsYh7ufNCbzN9PxgioL6HbCX97AcMg5uFffSjFvf2ue2eX
5vc/+uA5Ld4qDYCR/e8+AJ7Z32tXf+nerv7e+fA33es8gLFB+1QxRG0BRwchV8ijybB/UPDBRx6K
Ni97IwX+MB+aR2oJmtA8+lZ3oZqSV7WF3Pgo7QFs5NSP1AAKhnSX+RHCkYVR1WM0qs0EfMyzkpeG
h3zkGIEGczz0ALz2e+8yYcdDqVApquwUJ7dltFUNc86tAyitP2bXYajRiJzPLZtrAPC8u1+MvN7i
xDkA3u1VJhxuwfzO0x4xNVf5kBv6KjHnEOQRcJ8aYoCTI4/DXVU0QzQgMHzwcmcYtnSJ9KrecfbI
DfyuvCS5XyQfOhBNH+VdaqM7b0AY28ppV8pdjIdCZ3xQEj8LklWduJr0hmYZSN0m9uw9wJy93wx1
iBDOuahcG8CL1wYAPAW7ZjD5Qn64pGjX0REJJOVJ6aXTCMK/xvOkS9TwvjZoUOpIYrU+lJu1Xt6s
DyWn9VGL9aFkhVgfTQeQTSWjErIe/7o+6tltV8pVWiPIy5DdldwPQSxpGAM22+hTquLeOkRG/ZGM
Kz19Nj93mlcflFytD5KptXxdH0r3bn1Qgwl4UFof8vMlGa2PPg7e1gfJei92955jfVfekJyX2Qdd
S6qjWsq0RgDYDHD564cpx0JqklgjShyCQXZVhHjCJwVquK4REim5WiNK5qUgyqE1cqd8XSdKHrnm
2zqRX4UZmHuP4+33KrRq8xCEwCZA8B8wWek6l258CuzWSlZ6grgC5PRsC2+EbPCbcUPFCJOYrOJu
8pdmGeI50EyTUzSNZrKiolRNgFcFxrz6YRQm5RiyqMzRaHYOAokRQHBARKmaBZkgxdE163Ej+5j2
gKi5HoAY5JtUIv0bywFSQdaVASRkQCDhlu4dp1594DiHqeFI8VHD3YxE09AU/XNrt2/3Ti7czMzN
6H5h+svUdGfkweI2pd90w+IuSZG8kHdBtieEXO9AWyonRt6kUpST62JOAuR9IIftOgc3o5JJEL6O
wOqrkGCilGR3Gg2YgfZ6yHXApdFnd38DnZO4B6cU4evi86Q+9WgGhzZIAPZRIEeuCsJL3OnDqpnj
cEVVamDcjDUkqnodAunMx0KrE22hmoNEC0FjMIAxOUM4hmolFa9pXST5GNFGtkhjdtWZGx98hAtZ
v7E2M+NUwycyO0dhqsmiVEn917DByze1chqLfLzzm5TlgL07d/uptm/9li1Xn6UPahJ0zI70+cYO
FZXfVL31Ufg9ACKFGiI/z/W3KYTL5jhqu1nMr3SZ+iF+aryZ6puJu7p8Y1/6KFxGbIB1vJ+2ASjP
iCbxos1fXbbsql/cOEBKblmayuX7Sajgt2aWAGUQi+PGbwao9lU+5G9LRN4quZxgdZBlutysnb+5
Td7MYqb/6raOJGig8oHFhybhxpjD8D97nWlqVePJ0rvrVLuZWHK9Equ7iEGa48Wg46xH/REBrQ9B
1TSfECAxIJHCygAlajefQNpqHoC8Ahok0ZpHQbHz2sgEdgiqcY5cN68eBuRgoJpGNdBgU+yuUTXD
ye+yLabsKPvaIYJ25zy6ULUC0kfqezkOWcWw5S9m584LiPCyF7BbLqRUuNabhXQtsfvh3PduJhvJ
taB331yLwcJ14xpOirJNH5q3rgGO/9Y1BIy9uYbzEwBzCdfopv9wLc5dQN0I10KDLfqC1Z+Qlrrz
K2AqFBmzHoEAYT0iGD1A5knjr2x/th5BRw+ZB0hX5mcAnxRV0ouQvww+LalFErJRhs1XfFLNgUSk
juTBAczSBVDexABSFjjhHoySiB4SFknGjLp9iPkvZYzEHeAegjJJAfD07qObAk4gaD0f2IHvPuKM
qt4hBhDhy1cfDUTOXWLLBh7ru9tUKvLqIZwqIFxeHSrySF+GHaJllExLaxM4DcgUVk5q8aCdW/yp
3nnJXYFp5SG6QwxFrnIExC255UVbJXOnNtm2gFWTLlEDnqbtkzPxA9V8NkQM9+BsEkA/nElGYwFu
0V8AOV7fqolo/XjceB1SeEmP3Gw6ZJS2OGlRIlkycIAQR91FeY6wPWSRM6fcqZuunI6tEcMfIhr4
/dNqe40fEYb8ouZB+gUewRn4aQ9UowtQS0AGzZxgR16SrKimbp12QGCSVfE5FgZrD2nqfFFdyThQ
a+O6KOSKIEnBHezMD4W+J1XyihYpb6a3RSpl10WqdTkAZ3xLrx697GYZU//fFyg5WdZIqWMzFqjy
D3j94R65SgDgEB8oXVwg0z54gL1VIhrZnf2XCARuR5JL0XWFqg9LrVAlY2Z5s0JvphdpW2qFyqmc
PTy1/b5Ci94ztuEU47Xy+mHRCk2n6WYhk19mOR7CeEBgx/WG1AqVI4gGPnOwQscRIMqvK3kqqpsV
qrznpn2zSqX3qeEvCgDBykVPbg2FN+CxAUezaoKuq1R+WNJDrNCsq99WqBSB9GpRaXG1U3MDKNfb
FUruILWbH4O4e1HzQHIdQAB3K7QxkGM+BxUgS68TQSu0N+y3FUoN1xWq5oaMv69QNQ15CZhYRDTr
e1KghiIGEifOBhBrID4Zpx/qRebO1cnt9EVa6O4XsJN4607Pij2Ok7RPGvgJEMLnfUHSfrQuB0ew
dwOMrC+9M+k7Tl8AfTaxjgbo8Z67qnsl+WxUk0hSTM5tYtcfHAO3TA1maAA1rJ+nS5WNQHtIZ2Tz
udz9Muo+iEEDO3kMsH1z4SxOlrFwSQ+mX24bWh96W0O6Tw4YIOrgFwA+R2Di8zwAZzb0GF4YhX40
Ric2aflH1wdKZwIunDXJA5BR8bIVYOQ12zUIJ5K3hvTPxVQU8T9NCSoBUyCN8rnXvkQvNEw8hi5g
AoCI4BngPy0AMEVuJTOQY8EeJ0Kiap1mivR5DKAZmimk7jov8eDImQKLH2hykZFyRAzU/Uy1bQTM
XjFTo6W9zRQSNt5mCudTFqCfwLVCn0VaOm8zVeNM5gIwkHhJd6hZ+q/O1cybmSK5mKkutNpn057f
ZopcrXhyctz8baYaawI0vPgo3MFa64zFr8CxfpspumWGFTWCD/Fmpmbf174AI1esEb/O3Q2fu2Rn
dqH2GVEPC/wLTJ/0BqGFyP3vHvH33D5aTWztxzT8OQC/ElAouJC8G+ZTEurRSclbFNeeixAk0qCG
nIlD9hnsNGaj+0jtQX89R6ktu25LenSZEQNOw6gRpOH3YZiPT3URIyB+DaRlRONSvRTmiyRGLrZo
ps6mMA928W5LFpT5/v0u1LAMOfF0F7I/mQcJEc63haPU/2YITIeSN5ntL8BLALyBq+51smiEACBN
8On9DuSoWvYTDzNgmS95+FClI7u0YI474nAFeFF5iCBgIfMNl10miyG92StvG3Tu4CcQ/FVrUqEL
9fB6u90hSBf4+6JvkE7MXLii2Fpbi4M3j+QeyQ28UC/YzMbtzZhR4GcAQMEWDWmSg1SKirxBNgOA
ucgr4TiVaNyy4U+e3kcHpU+NdpoC6coztBU1uADs3Oum/jl3cu3R6wA9Mxou37l4aEaySB7GW1AO
5stMNJNOAPjAS6fjZFTzENwegnSTSnoffk1A/nogLdIHulCznkekN9lkLgVu0zHx2KUY9R47H6Jv
UqWHzHH0kxwRyGx4lHGzYP1WN4V/jh4BT+vdAxqOh4B2GCpEbUNMkiGcBJpqZWwHYF4FC2QhYR79
JFjI0ecgSx6QM7mQ2qTDLfsXb3sTBCq4GbKFrUtAfQ9tvC7YvmVBeEobULgj+hec7+JCMgMxikAJ
EPVynhB/XJShJ/inNdB5vCv1yFQeAMWNn1JliEo8+YZXJHaYdDz+rv6mIQewfIZwI44MxbvxlU9y
eKrLPjni8wM2t3ulIx1RjtGA+AK567R3AGtGd8CQpbtyR6CWAVgvbRctXRvAboF1JweJTe2nbG1P
eXkykEIgL+bvVWolmd8ipQyRPEBnuCoHwIq/6UsNchTqp7ubyont49uQGWIOEa0mhpdKOngoFxnA
D9bSQRpHKlBRSpMg1Tf4rfkpO/15L+RF2/5sOfLWf7vJmxGdHHnDnsPT9d+cVnetpgPRoemWMe+f
P91X6h4D4mIrEFA8vGKxwKgfjSnfg8sd+KpCRJfAb4CwVpogiL7KAGASPBTmckZGLZ7ChDwWT40l
ntNTpNA88D6bHgwjAzkZ808IA52kKG58A2TiF5AajA9vYvZqR8B7QwKBdk7B3XCm0jBl2rlDjCWi
vVK8E7zLlRow843jnM7LCFg/ADz6XSUYKhBLlO13kpM1I22mN72iKQDSOXrjzbCkQ+YBjOXhFQbo
I6bXbOcpDArwowKNUMMXelcCBe/ZKgwHCZaIG57c/JlEQSUCz2eOwAqh4c5zdeiAB7ygqrxk3geA
gI5AYkSvNIrSnZUwOCE60MVi1mpEdvYj1QqW5mCPCgOwBqJDwRwkQ7k3BgPbmFf1ZMwbTyjMSW09
ZJO7kb1HxGDyprwgNLlfOqM9fgNeycJpDACU62AF4cwcnw2/qLdpnun73JzjR9KNsA+BLHOQTLoZ
Ttys8GsbgS4hKFdmjy0j0ECWONxzzGpZ2CP+oVurAHMiOB8WTdSCe5HqzCq+I8zKPoSWV53dfP7m
DlOxdHxT/2a0NrKsxvwnWBLjBeDnwUYIAocN4KPyY+br5tl0Q3BzlVn7GdlelxIJsz+jwDkhj9v/
rBm2eNF3X8CIOS7DaBgPSKDjfJHMAM1bsDG4lk0wviDANB8PA2lIvdvynxIySBfqSCZcgGuucj9D
/BbgMvVhav/Reg9/DJOfHbLESp8s0HcvDGZr3wqbf8RDof8Sh3W1m7sRh8NdWX0CBsLFHAv/q510
wTKL9GnnuPb4cQJLzKrwilBWgcYRIJzc7ba5waePgwB6Hs0q2JSiyh3XWdcW0qyptcaf3CbQMrYm
U2bZIBEgfbZ0QTkf9MkhHhtwMXeTi+fydkW1ubb6Jw/PhhvezCWWG6p91lmIZgHCuq110yE1wSAk
ixryr4FPJqSsxGmXLBokDRpzOlCTupDsplkWqR2xf9xYemwywHrunHx3Tk/c4uWEqMPGApJcap3q
1tH3w+AOu74B0D9PsHsWpWnwsUIk/aJMWfwj9oBMUYDRZdHWxt71K/OrNoS24McNnrMw1tY48hrO
gDm192CMaHbMHn5orHE+9Em2jkEw+7H2XTCfgJ10WaZ19U+BpBsAxxb+ucnnFnv78YXkOtdrkD5x
d2vEdvWPVWnIIZiTT0DuxbNDFhpLS8j9mZsLb2bxpY9y70MerHlbzv2qaPXmzMUljxD9ptfjPsrC
hm+pATssbMFCbFnMXd2cpUwog+YGb1C9UQRInTDxFof/fePAE9AqZEa/I0WpQ0UglUxiq78DoX3N
jySTwyBOHbSPXaFvSEieSM8CQBsg8lVHbsx1bAYKxHMTY2MLdBqJ7JJohraLAv5MfcNcOEY9+tRE
cUSI2mywE3WVfqiRjCEDPLMT/umwGNJFxOESeLlAnxHjys6yKJpLLc2BuqghjUFUqSH2wt1gu/UW
eO/x0+zZ7TFo4q/4CYyf6KKFQ4i4TWdaKZldBmJywgowgehFDSGOixHOHT6SKNXyV3CFveIxHXsc
A6KEgE+uX7C1oF/AuaQZi9YK4gXe2KKdH9X6hZqppOmcH4HMsA+mXjdu+jXYX12Wls/XStkVfamb
NxxsHZD/SkJioPNEmx6JK8uxaeZLvEwcUztOEVi3qJSU1VvpbzJQR5/DeQ62d7qqChq3uUIIFIz+
zVQ2t9rCADLXSqpcBx+EBzQkILwPEXYRt82Y9QD+oOsQgr0sSwEwJuuBV7hAJ8Up1NKq/Bpw1iZ0
ScGwqgg4G69jFxZndWnq6q3qaPirZRZgoqiVGnjd4yiL6mY/a0eb2QCAEzI/TYAJ+tbuxwg8a+23
nrcKwPiUvZRNpjcl2NNoXNExzLrbIUkxCNseP+iAch9x3LpwajP/wdxymacFyIh8wOgCYzH+ygN8
jeuK8+e5KuKNAaCLU5Y30wH74jrW09Q/RhkLV0ao2a/1wL7MbTn+4sZK2jHG4cW17eBzknFtyXnQ
ftAG7FcMrVYd+8Dyjr6faxs+uJnAxQU+Wqq5/xhF/hiNbXuZHTdba5HN1rUX9Ug+nIo9QKfrPdBH
6nPVWdEGDwXlk2450xK58SGyqtgPaxymH7mBqGkiNtUQEDxMlfkjdaMfRe2mn/WuHQUmWvM0Cdv4
UbQ3Xp+/2JpuP0ZAg9RY+UgVzQudxzAZvoc5tmZIRJfJ5aBStYt5rWSt2DpPG38CFi56UYM/MP+s
BeOaRFYSN8jG3yFXvDzPdR8dkYptbhx7rJ61eAJCnws0dy3+0QkOekClfp/x+/+p7ABZo/r0QWlu
at+vns0OAHR6YvzeZxR9atGHg4fzbOGd5ggE8p+xpwOke18ArvVzx0bzlGimB0AxFn+OCjtfW0jS
3Y1RGn+2+fzoGrr7ARxHyVMxVw/UKTKZDhoJlqypqpcdW4x1DmIVYRLnNKET6q/tGKfn0gvMBYmt
xuzXozPyndSay2efD08l2CR6Cy+tp9hHNnriIMqns4EM2eF5OMv7YnjMXSvb+UZ58kWmKBiM2IF3
nqzZInOW5EwzvLOhh0CeF/nDJKNLk4Nk1hR/PSLZWMnN0n/I4mJEHGAdhutSZMDOIhdW1l2rapaG
5QZr6hJQCnHRg3I5xN/fStnRptlZpX5Rrlhe2psuHHBKKjylCw06ulO092zn2508MUEJC0akPckn
bsPxAazDlxb/rWkdhXLssknX3pBpp7s7cG32UoHCfn8nx8t1D8Ivp99SA+JpVnor8gLEBLAG4OQ8
Gfq3EdI+qtdaF7n4yol5MJK+2sYxMqFkvQhtPKn41idZnQFrfip9JDxQ6jY5WYNYLcoe8dpYb2f8
qh5GcaESXYAgYR64CIr9V9mdClVJmbqpKsnuzP9NdqeizLu9vysqIFwqm8ozq/f19QgUpEUxDway
O1wDDJpOgNQqLdyQDDD8aNA4sKdnvDmQTDYgM+ShG0AZj56kRSVnMr/4gQcIPCGnC57+7dWgs2jt
gTVUyvAdCvb9kPwkDRqYSqa1AX5K8qg0EdFQLIakjvdKFYetxtruPb4aAfoYLNzOq45NCzTv66BU
8lt3iSCw9qL8awbgPtgZIlkKF4BvA1K40xIcoKmBp6a082FtTEfnNM/mvp+jtkUCobkPXMc5qfGz
1OmW/ZCZG2mBjPmC7l76Y1ZNewlLb1kwVuPcEp6FU1YfpTaf8H2Km8pYq/umG6RblT7QJGAy1JhU
EjM2WQamju47avDmAnx6EDrQnXSl1hw63fsix8WnA7T28UE20uen9Z2+k/UpcUNEGOrBUhrzWOIc
W7zAqzEtgN0BEKzHq2Ckz59882ynY3yUNTyU2Me40u1j3SL5BZs06R7byQDnFGjjWoisNatPRaQm
qpOoOqKqWlXVRi70oeHcW2hFt9NqUDy5BXh3w7k4VrFXHBtxsYs6AYigKE6pHZcL3vrvAlKVdSrS
RcdO/MaY3c9Uc6n7vTkpJaPU5DuaswCPRLqzM4Q66Zr57Lole9HCr7FVd58sz44+NGF3ZlrQfkIo
lDhjBYIbNXqIfjsUAHNZUmvqYo3lpQM4exC7hrV3qO2CP6VeEj5go2yTxn72RKLBB8WflRr1Usl0
I8iWvDGTXSt6kZ6nuSuW2O0DqY1ejQOhaH6RZoW1yTDwv26Y9Sq2scHwmgduvB7G8FuGp4dzafdA
WQIorryQjKqAgFm6UaQdlehOrav0cAl6snp910BVMgxKR3Pb1O7XfzXy+1h4TGvwnPe7O2oc5eyd
Pd+qcK4e+PfjALKfrYaQR6tS0JgYVt0uHSQObjvilekY0HjqzuFbak4dPwURQpZt80L8xP9+ATJM
uMNm7pOSk5qBg8d2AfAP4HA541s37iGauyozBqAXmKIGUqGqRl2UHY8DNhzvU9U60vJ555lDuLDC
g1aG+Q8HZEoAjUwSwLeB3LtAcsMej6P5I2BoRpCdj+bXYcYTLrPyn3HTfHcRKPrRjzsPz1lAKAnK
jz6SlM91ocVrJC6Pr0UQPaeJVfx052nf6rHzT1wAVbkymYU/Xa86DBZnG88wjGe35s2CLNfloQ1H
Lr1JkC2/SScA8RpTMHxoASy7aWucRICvMsMudq07IJ4DpxY10wWEOQL9MenWSoZEQmAsdkG/aTMN
TAuAveBLjsezLcIzxw+kyOd2xDERC/CgCBk1xHgfxx54joiQTJydjKH+DOZVH0Aj8IYuqWvvJ5uP
Z+qgN26DHK9KW0Z2+G2yuPXiZJ3xVDZgPOKO+UKXzOkAOlGxR6qF3CvwRtqwI1XxPlKuQO7gb6mK
oNVi65uetdKENTC9pDgrjmZpLsRXHZnb2nE2jQXHvtlziQTHhy7LXjstDV+tIu0PVlLPS1ab7FNj
ggdt6pAjVgGBdeG7LaK/Bq0CwYNAb7bmyQFfYRREIEJ+r0shKc2960glXZTavCg35lC/ShPUWsYm
i05UlFLqHlrAhACmLWxqvmOLv3OMBChRwOPWo4OXvi9A/tQf1aUIS+RaNghpv8rrAVyLOiitV9NV
hjf+7qjH7gcwn+mPtZ3ojyP25Ve+DWRCGynpG3CKNzswkVuvPXZPeOWFX53Iy9d4d8yxJdU6LzX+
onuvBZeki28vMuDLk21a8RPP/B8kTyv8r9QtHy6MBYjAjn1tITukyOs1Ezd4xF5ADob5QtDZYwQN
IITMNfBuHyTNzvfLT5neDieugSitrzg+rsH+7rmRx5dFxPIl9sPrXWAzA6Apw/SoAYogBUYS1ig2
X9dWMyRrX7eh7dTaBjRN9QMp+2aR77N4BNEyaUfYpMSBpA7sLWELjwgzYKG8C9XA4Wc+ZV7FV3Fs
AfCZRq9fu7QaQJ+CtikfExASTuGK0VipnQA0jRfnt+7Aw41MAArJsbIwFTCxpi/99qLaeqgyES2L
kelS5nm1tvFiupY9gLq7mqoSrB5IOVznEzYrcmyWnKnEBbeelo7ArmvC052cNHpgai8LnPq9dRX9
EZ9/MZDbtHWZ2xzoEtgDEsWo2M0MDPRUHADPLtvzun0rUQNVHSDdaMtO6CRFhz6kftP9piibruao
avbAfm4qt1ncKMoitc9260zHDq9XoDusmhWNfDM8Ug1x+tp8jDUcGpYsqPVtDYzp1WDM3lLW29A1
ltgaCdduE1SXKtaqi14XwKXoBZtaE83VRmqOcQtUMUN3tm/1mj9VQJbZU8feA7TNSje8DdDHmiNy
eStkempWvbBa7OnRJsXNBQldK1axdkkyuQGidlZICGrKhd33wVF1K3uz2c9OZO0622pWlgZw2wG4
1rzW8l8DgOcNoNd8N6MMENLMbp5b4ANhb5APx8CI8GJbJ846AKr5S8WB0wng8exnhAg10Zun7Hsb
Tw34Pq3XSPO8ixcV1onpHv4ScvCyuEj3WSE1OllElZnuJiGcDWM+Dy2A00WHygOrJhiQQJgnqtSN
SqU5+hdQlSC2WQPS8XsbmSgcHLO6Pajd7xoYDrbx0Kj/VCYAY1EhDLpsN8X4IwMy3i/u+89xOOIQ
ugYVUlbp7WNQl+Gu0keAiM8BOIAnwDHXmtN/1Crg4g615v3wox+z1lbr2eLatu+5s4mZnyOGo7XL
dc1BCeIi5ZvVXu7jP7zL16WLDVsj56ibZm4+dBGYlhurXBeAOQIdw+StZSuO35KzD3YYWUVSw7jO
OpNDhxcLw5r4d87YpgdWdYi7RjLXoCc/WTp/L6I2/JwCO2rZgpXgAxBwmo0WR8ap78z4gH3obtfg
l+8C6shs3WZt+ZIkHRKFi87+4gbxgzTZftJ8F7sHVlx/YK1ffCkzBL11c+08g7uhWUcdry5lW/4M
LexnhsC/j8dtZzv62jHxOQCqd57Aj+T74woodQl4nUYc6pmgwsrERbZwsCHElgGcPl3Tztwu9LMV
OMbSTFNtV/J+F4G2+pOrg2mvCF17U9mO+w/oW2uz6r8CubzG71Zd4f9Qd58rPn8shTwBvP8yB+Ht
BY96xqW2LATV4GHxK/6SPjYAan9ObTzY4DWpXjvzUC0nA1vHOHesDwzxnBkQo24uoz9aFzYWHQLm
rWKLTG2QtVhtbl3w5HzTg/RUX7cG3Zht8M9N4JibgmvaE7B1cVrfZey7NlvrQTODfwqQDq68AFuH
gOXqzthe7VbjXLIvDHTgOMdn3xGWhn+yAZgy2Fjr1/gBE+mQZrMdsmYCSWT9gywilOFk6bb1mpmx
hYWXFMcRob8PscCQT0qv/O67q5YMWjiMA9h3f+gYSDfmyE2fXTOfgOLG51UMOIJnkuXeizYBWZgk
2P0w12M4Y6ELfUvHn6STL+cgTvGlQZdYx+FVBwg+EMOi6hqA0nQbA3Fw0KA+OIgpwM3Qh1uSJUy3
HooQR0BXG8wN5qXpusBZFzb8umguNthXlQaPQ8EmkTNggcJu5ofxeUwsHLhBnzq1Bn5VvAQ/k7HV
hkeus/AIWOK4wPvX73X84ITHUVyoRM0FMMfxnCeElW5xZ6mayFIOKutt72Pb5tovT/A7muL3mhmJ
vnDKdN5FtiBF7EP88FPd8Jrurd6CRwVUbg7alT74MgAPJC5KRlVqAEXemx16K6GLsi3Hon4ZMqNB
BIpg1rTvdoCUD4AL7jonNiDazGjC4FOAHzDAME/Y0xJV3mTGakToyo6qno2zw6Cp2rMJzKNP3Zxs
LDuukSpZmM9RF691ITaq2jxHvYczT2GjcWpvNyMMekUDAtw1Wxf+EGzJBrDCQIDUesOJqrPm7/Ow
LZ4AAI4g9sRYUKeuybWLVbS/zMr9hXds9+gUNVgLuuEHoIO6Y9uy8SkzGgM8dON5mt2SL2dAe6zw
N+KtTS9BfRzttauDp4OUeYAdkDxGbJ3UBoo9AzZ+Y+3IMnPS+EMraE8y5JotmQWq0j6o05VOtsBk
8poYQ3FydfPVZ1OyT7HXic1rJOBusYx/lVabBAguBhNsCnz7dYwdy+CA07otzunsg1XoE47WEwAU
Yi/yzPHrvgR6x7DFkrJeEOnTLJ0WsCxUdezBW89xz9aNePdwEQW9t6eiww4blPNcm87cML9QrQPZ
DghpjUUXlBHy8sHIU4Ma/QM1Vr7NwbAzgfBU9MR5VroKkZC2o6rW2T6eHJJoTVWWhtpBd/6HsStb
rhRXtl9EBPPwuud5sl2u8gvRVdUtZsQggfj6u0jcxu3T58R9UaBUSrC3t0FkrlzLdBaTc2rm18Dv
r16miVXre/amRzT74UHCeuWlkJONYz15kK0L6meVuuWJTHidjW9ARqHu0JTpMpJDsjeCCASCHxPm
RVIQOaZQtBH/tsA84b8u0lghcuBh1x1NPQKbvV3m98RqwyMXQ3Zv3DC7A0uFHE2skG76sNUZCBRL
26p2ZKMGuZZhCV0fZzP4FTRTwdGBOpwwFWtahnwSwBlWfnLneahfqUnzdImSVfs8m1TH+hP2w1sw
vRqTFw2WdV7tagNIry8DQ2RFuPl3fDUP+ONcVvjWwolLvp1XB6E8Kpwc9T3qq+HCnR+1HoozKG5x
ay3BBXepQNK5DQOHL2LW9M425CkUVJCD6t0HJBLcmx6D4wtC5bhZmwKRxhpx7iLL3Ac1HaqmXC0M
b3nhOA+RymHbl7G1hCY4Zlhhc7O1oD3TqAPGoUPeCsjfjqvT/FrjNQgdWX0gF13l1dl0IFrzcQY3
wz6kM3JzSx62brk3q/EWOTCfuxyP0YWeBsguVv2p4H5wacYNHjXZ2C1N75ZmRXb4Yrc1M1pDbArK
n6Mb+ZJLb+DdxGrFZl5jntrm/ZvrhdF+9qfBoAa4AgqmSFr+8xoCbHDONvKjXgUF7cW8JvfybIHX
xGg3r05zAYA0N6GfuJPzPCMcd6wCSJl/fkDqIho8LDImYtC8/eM7QCHNzW8kAwy3h6oiq+JFGSso
3PvdYOAJb3hgv7R940h9auYuzQH7DO5zHIpxZ+YG+sG0cUf2ugBBSTddVLx0vmVOr/Z564NmbOwW
AkqUVobMnycN55swSuChAkMcaNTJ5M9MAT5JgwAqQYTDa58rWWRPnVVuyElnXnAGD977CdKOfz4B
GCfeT0DOdIKmaMVBmbH7bTyB04AkOrCc36gEjtqFofTy5KNs41MTgEV71Ukwgn8Z+OI8d4EoaY5G
j4cPFiJzWsk6W+kjNHA6EQ1VEGhYQDwjX39ZGZw6DTBAHxfjiqzfxUXwflUhA0zKTx+DsuN7Wtsh
tPMM8AdC0vtOjdS7YNMUtlxStx/9RFaX+zYp+UIPkmTyU/h6j3ErbrRSJCy1zQpkSlmDKIjKxEEE
SB/VDCkEy2LiQnbPRfi2H6se4RSO8RI6osa2K5TLhM7rFzvN1lkJ6SYdCXtakSbMy6LEMULoQ9em
s9OAb3iQIhc2skBubO0G7qfbPrbZq6bqI1ex8XP8V0eMXFXgJDAGxIwrto7DxPqj7/bkwCsoj7Ii
dU9VMCzsyAnXZqSbL8YQQgTLDKD97bTWi0id9y7pWyChYIEKLwMsZ3Sm0TKBAlkP4XkyYVeIcNU4
nyb8P+bTcvPq/zZ3vpQv56Zuw9QS9MnVflBCHnwvkwc66sfubKOBhlufXcj2xW92+belTM06hbaK
95DRSNUC2wh2LvNtZMS1c7C8IjtxVIJXP9OuzK6igcxJA2TLMonCiroIqDd3AITruw/dQTJRL3IZ
hFW0okRwxddivH9V5cUYG8sF60jSKSQJhNm1K92LsatPnxIJyUF6ZldAtx5t03+j7QGZhjD11gmy
DKtpWxB7EFntUs3ZT1sAs/u3+ZMvy2tvHdudtYKmb7nJR/X0alOAbSEcpemoMXW/OERpu7aSvnMR
P8QABEWGUdowKw9mBrZU6tKI5eH1dvMxQjbXsuH9aSII5vQDsp2Q5Ux3JT7cNxO0hgczT4t1k0n1
FpgZIKDVv9rr0Q7W8a/+FqgsIV4W+Wtu6yhwMOv6DdufuzGoHnn5Ztk4PIkWns0BQHOrP3wPe/0B
FH3Poo491M0XDZJtZQC+dm6DfSnyISNhsW3UOdYtB6wDdaSJudLaNF0huygfRg/hArwEGzvqNqx2
75a9tZIUCD8oLTrbvsokiMcQUKyEkg/dBvTaRAQIfHOwCe6LawOpVZpOHjJwoAtjoKB4WsVCpLSQ
ooKAHCZ0bsLPlaVfQez+s9EBibF5HeO1OpfPcYwKGU3DvQ10buIZuUz+QLBiCYSDfO6qYCSVSvHe
6WliwbNA/HbTt0738798z3pTial9i/PQQaFNlV9K1UTQIINYvQDo5A4wZgXi/yj/w42jnbBRuhMG
br3R4qZfYa9e7bPBtF7NtLwFXq7fQ8fKn2QZgaOPW6+DhqdZkvnekrwQtP88iSfVza284Q7In/Oo
nxRT/sKBGNpOTf9MqfAXHKUQOxf/3tGSxqnvjf9YgHo093kOXmKbOw18sRlBkm3NIpV/0Whq5yV0
lstMCaCHmOp/szSDWH0FfKz2hEzVr14Z6RXBgfasQUjVxquLtiIbk+1W82rtSL00rNIrNRD842OZ
EX4+o20ebQEA0UoIbxiauYBa4gAV0S44iTYNT42rGXIBKsfg5IxNDTzzWldAw5EPmGSg8VNXGn5D
2HbkENk5lkLFO5AQ4RcBE+CLRrVwPAXs2Nino7mZbTkIxP3BSc9RJyGux5pbXRTaBXUG+nMbtcmy
8XJ/D0Zv/RkKzAiLaU2wptHC9t29O0BSiqZCSzS4oEb1RoNkQtIisuvkWZPj0kH3zQur6EJDrulB
RcQt0j25m2kqN0kVI6A1XoahqeHgG0hm0ShDEfCVFwh6jpdBHoDhLECuzJ6aqBcXzcY7R4zKnFxp
3q6xh+iRCS16lPgfSnkeX8kEGSPzHPUAaTo9XiEKY/C2veOjBDLlRbq0cge6XrrJtkgPYbxrUuB0
sSOmyZDMrW4M8SdaeDKlurvngVV9skVAO60t7NvW06J9PmQLcD6XEF0fF7XLFwMw/BstYA0qOvXK
eqFeNV4215SBaKIerab5NkOsRfeicvc+v7Z2SrYQCxu9NelArc7sttSjK8OjRu4sD/IuCKVn+NsA
FLJqtERupgVY6b02Q+JAfQ5fEDRC+Bl/8JNcxFHb3TQ7VbdwcPqbLPEeNNSxvw0cyHsvEKgOt7Hj
Qp0i7qNm/ScjfxpLGb568vUlh2+XNmtkrJ5J3jzPbbnXdQ9x0FBaL30o37vVCDigblACy0vi53OX
5kZALe1bZv3H3BIhiWuGG/O6Asvyue8RW17QYWHgH0fZrNmoroTRKcaM49hA1huZVwD27Eh1y5BD
knPpVk+52dWPSd4v9NuVnUINi7plI+xzWYR36pHEn6bEX3Yeh0cEROSTBczSjhYjjyx35ZOrHrQg
uZeW9b4gjaWVM/7xqnKhHLxoBGq4NnjZwzuK9JMD/owviH72yVoxDfFmRNUnH3LMEYG82l0kV13g
Qfkd1UTJWtSjOJ0ftNtPiwERfMOvDqyntJjr3gU39cu8Su0ENW4SYjs5eKHm7DgozBZTP25y/IPH
vVpOF4cg5nCVyjWW0Pa01/M6dBT2PghJsloHGdH4UciYmu0uFUl2oqsmk2NYHkq/GnNZe0G9sssQ
4ReRy5M/Ntz3IS0xHv2bzR/aXSBTsZ99gQn9PIvmk61jAd82ifjxX31zlHcuZaolKw2vYufIN/A2
l+jdNtJrawDKyDKHRaTqcgs1EZQzjE4K8KxzFI3u5FSh0k4zVHskWzxNGYdjoCSwG8DiKk/Dad77
irwEbCdhq/fu6D1dwHikchSEaIEVbqZT0VlocRcZ0q3tuX9S79MoHfa82Ukg+g/Um89JzqjHxzYc
KulLOtF0YvLheLE6jXxWk+3TdYwf1LX4gDoVo0UGZ/xKOAo3UQvoAPPDqvTH+zqj53xCkMSeysiE
yuHH554vmPtWvmZ+A31WWmpatvH0Cv9fO7p0jzc/mXSqbV0k3alCcgIFX7ojT2JsZDzYW/zan4fx
765VyLPhRzf6kDv50FCXIJvdgoR+M0+m0blLfmRz8WTbOdI7TvMrPNig8I4E43hLqcquP09HYxeV
U0jBQV11/WVgust4A26M0/DoTfebeTLdg5x/usyj84KfTvKxCs39dJIQcOb1J+O8TlNB1YfFGP5y
+kjFCJsihLQCx7YAf0XfHqrGN7MFHVKTNS5SumMz2z450jD1Z58uZig6++Q0z5xXy3yrWDGjGz6d
i5YQXrL3Ul8ted5U0NFp/WPQpaqeDj/1ea6hqH4as4FqtkANt6fxMLX8Ix0prwe78Kf585CFJOEK
KcZyOQ1HaaNFq3lcz38DmKFOeGGWpwB5BwN8j2BShs7PoqsctI4mesALwJcSe613FmM0eRqHsNs0
h2w0ao2zZz+aGwjg4qe1pnn/PBdNcdMSQDPDLhBxZuVDNw6d1PCKMnbMlNeHom1zhInHsa4pH5Ev
5EofRAExQ6MAwBwDLhQ/qyJJztRDzhu1hXa/J38yJWasbSIpgveTjAuZeq0WEvkABMKxBjUWW0f4
GqazO4lKD3Vg45v5ODtLm3oVqL5B2OvvK6qb5FJVaT2dvWlL7dxoEOrpe5YtNQDnNmFXQun0YwIE
5OWYJBmmM9PnGH7hXYBNV2FoWbi3wzG0OV4oTYQScbGqmNVvOOKbdmHwmwAL3qY3QmhY5i6EcpIe
tUwF705NX/DXlDgKQudJc4vqwaPoSOYY2skIkiB1YPk6f6U1wAKvbWjU/s81fLsQ+GkU+TdpLnhd
V7/8WDhLFofDBVT9wVEVQ7EejLb+kaXexqiV9auolQDS1C0faa2Dnhnb260qa4Cj2+7N7yL7l5V2
j3zo629aH+kbZcpwn4CZ4a4y8EORh9AAUnRS/w0pIR0luX14UlXWnSECjxtkyg5hFGSLogk44l+G
85yLWFv2yCSPYqbus2hitREyAJS6FO4z9hThvkzdBOG60bn1UBqC9GL/gOJ2i+hj7J0UR62br6BT
4QbalY4MlOCsLGiQrgqd+TlIH/ghRrbrNLtAVtves8r+A2ztIWokxwWC2iixy/7l2ErtUZoYPuWF
+2JkcvjDL0pg8wcVX01WxxcheLOkgQ7U+R3QL2DnviLZNNbIpig8x47YX5AxcTXrSkeVzuWyzNN0
U+i5CYWlKL8ZVhccZhcLpdIXOX5IWoqmoY5B7ViOu9/7NN2UK6Mp/emk8+Qms/+ElFu213zzrzLr
tWPktBCjEfxHqBkMGrHcuPttsPbHHpnANqIzvXimjmbzY1SL8kY9N4Amh87GyNHobrXIeGOHae61
irOXFkRJa6P1460GjMBLBNDyFprloGgaR42mcvaQcENxzjjq+NxDqXkEdvhxVK+QIHALA2lzDCaW
Xz9rYgOWqLhb4mV/IzQD6kDjSUFb8YbSAh+vrphXBo6HOjdMpME+R2FeZAT9A4Ho6BSlmbxHZWVd
Yl8DMMURd2qqZjDOsg6BFIMpGb3CojdObple8O7hg0Ur6UyIUrrP5EHrhMwFrDgwf5I/mcCEhNdK
P8nw6vv3QgJMH3sPGIHJRgOxi3cfFEF4C5pGNtF0cltFEV+WtYUzGjpURlH5g4yJsuINqkJxyx86
XFkYxBtX2sWnD6AqT6xFVQGMLbiHsKqDnambA8RAJ6ArxCa9WuW1ra2nj8SByFxWeWNspottgS6K
kflfmqyMjz1Y9KdGFuA9WVC/bf7KjFgDm0Co3CWZwMIYbmIktxfmqDEs9QqiLVBtP1ljHFWiIn5R
VqE+dYXX/t0dY7DkTKNf5urjUp+cKST7P+fOzv91Lh+vaj7Rp/N+XCSkFqqtzCy2sp2kB00sQFnC
CBCmK0B/2+kB5JYCPNUXhuNYZ9aODE1j1xdlcutCT0IzIkY9rwzim4EsNwgnMNDK33UUOhfqkDnO
836TdEgKkW0eMD11yXtLHOclIqSj9hYYL6ezzL4o4eeLpAz63bxIPWjsBM2RI5mcUDQ+sIoFdjQF
bimzn9718lr2WwiHJbcyTPEZSmG16yrzUPUFjM1ko6vw63yDJE96nqc3EAQGC0UA9MC4wDzAjPTN
d31tP3/6sPTaQ1Fm32YT+SO+5S8qW1VbGqBTBczQz14rV+QxTzBtvMQWIkJpzni+6Uuv1HfFivAy
T/fyQGxaG8FPTa/LZYtS7zXkxHW+0pkRioXMQuSUUtNFfnS08kq3TtNhEIaQ2BZAC+kVbL3nehsW
Q39YJv2bXTYJEsHhggZpVjFOpaMvNlSUNxsGIevJWbDQAvATa5LzdB3Uny+GuuQo9QiXSf0WVfHr
vE7yVdZmzpPfSWPFasfddEbvPJlIHp6KhEMC0bGfyKPP2cbNmX90ucwu7mDp+qJWTnZRUhwjy6sO
dZRhYBxVBjN13HvS3xBxB2EAzRgbcqHGKjlwpWFaboy0MbDUOJkcW6XCZQQE3Wr2nhYcKuCwPECb
lwPNmWYCMZFtM8R2pzVoEl0FrdZAmwvFLt0TmaYVx6umoyH1+2Mn1Hr2n6eHgQBYJosumeWzp16T
f0FrVB2VVUZPTmiZBxtvtAvqUiPhkZuDOkaISz5ZdiiBRwWeFFnMwF65sURBVWkhrImaNlTtgjZn
BRIB3DL1HhXTZdPGK73w9VWW90iDCejfWibe7ajr9157oQY/nfZSaO62D7PySINGkIkLHfXAZZ4K
xEnIdVqYBpoWz2/s2P+g6TQ6rwvF7nJde2G/dHzfhHJnbD2ZkmOb1IF1MIsTvgw1N99gh6cDZ+6w
9ho1LtBMnoB61NglRzcCBZwjQbgW17U7DUxTHEh/ep1eHKSuIUBj1JmxSRGrXiI3gD4kF4ub33mb
QAEUNflUeqhPPonZVJsc9atL1A6yM/KS0dkToDsGqD2116mn6QsyKgAhuumQPCUPklNgv+Ed7g3g
T/NY9XX7aMCucOlR82ggEvWgRvCs3PjgdljNtv81SYJ45aaVr5SCCRsEPRjHN2uNaRnEYPWTLZVf
rmi4l6rc9qZ8HwbiXx0TES3a3JfXWMu7q9PiiWaYLN2RjZp6HO1a8b0tTBN1sei5Le6oNAGvJ0fs
dcUxMTIU80fmwfNjBBKQ4QUJEI7mhmwB0NdrMQgoyfyLXzVOq9zsSejc3M5T6aiK8UgPG5cv5wGE
LI1mWoqMhZ0Y+7RoNwnAYac6KJydF3QX6nWZ5p7U2FCXjshGXX8wf+VRVGz/zTcJSm+alYF4wtbT
Rch6DgUfZG6cqJDXFKzT1KPGbOoCpBKAAbah0T3I1vjaUxlhb0C9MMBlaJk1jZFJVtDR7XNgBmiS
CnId6PUkAuV3jxA291l5xJMUh6gABhTFs/Zko8bFdshftpXngSbSwC7fS7wjH5u8d91jlCPsyJs6
WoqsfbdJkzV4V//wIUcaRpBdRavAkH/GIIff0MC81jxjtunVgLXIkYY9cw+y89coagTCQQinTM0Y
kPnUrVAU0+HxaY+xXXds5kGy1X970OBkmlejI3jYsmWHeebXU/29Btm/nKoBgGBV9JE0ndfUrveR
awtcUyQPuRO64G4e+ykddk7mLR0TrGfRWEs+DX06nCbQXJr1qZn9p6Wmodn6aeqn005rJwkYOv0A
r0ljwRO2FzpKQ8dDasyGr7q2rA+MjwP5ODAd0nCipXilcOO9dFDCYjB/8e9+07JI9+lb1+xfaJn5
JHQ0uXRtny2M0kCGsQovuL3sNAuCbAHEpi5kosaOGVuBHpWtZxsdGZBO2XPWPmVOAhF3wBl28VjW
SM1c5WghOLYUAjDX2Tb7xWZ8AHOMfuMSZDydMdRgKmH81TPBvVIgwuiHDr+70r+SmTWFOtgaah6M
ENlKaGHhbUPk0TWGwJY5dP6dmqjn8cGKFPAPHzZzSPNN13FErArfv0MnxL+3Sdss20aoLfYsKllC
Wf1F07h/bIoM3aLadnZdTr61bgXAiqP+i1ytcmh2SQJ9zIgLbJuqrFj6AYjwVhUyyifEbJNdyKwn
6nlmYZ8ipDLzw1AX1ZLxXl8ZGpCZC/zH2icaJ8889d1NhbAuShs6dhn+2bT2xueZBMeyX3Vbznmx
0AppbDzjRVhOssBra3MajAjCvRBTXJWdHoKwqTSeWx6CdM/GPYylhvFsZo11bPsQjJzjaCeT9D7k
w6bQSvbc+htwHWBOWq5MoQV38imAKH1ff5xSSlGsUOcLVDL5juvXHMw97YJXGajp3XotOh/cGshH
y7NWxsYhCjuEbPBUWEB6ApJ+ykcKPUX9/CKk1jNVfArGhrlteyw7KD/bQwuukTT7c9Cx1aqz33ap
Ie+c2P4dNZvJThYpCBxzqd+geg9JNGXJnx404GmOSGS8SOzBfS4Nrdk4ms2OSedFF4kCLgDME/Yj
M3IQ0WP9LOtvra5pr6FnB6uEhUC4DYl5dFoUsZs5d14g3vTTdIfsT7fTVm4B3Q1bhDHiX7bMrzVK
nXdhHwF+2Rr2wx2borX/cj2BwFYHhCrqh4bTwIMX6lFjtCOHaKtQ8DJ6gEQtuTdg5KfZtE6E38Pa
1hAAJBu5eUm56XuruxZZ/dOq+A+7H7ybgKrCps3xzu2O3ZqXHrQdc/egNfF36lHj5XZ3swHV/3Ai
c55ZT3Fa1cdPk2tfoKoicjez75Do51J2pzDM8qXHKtABjTuzoPBQyRXY0X8xVqqrNyiGwR5udKcj
8qYBspVOhiUq6OV2XvxUtnI4QkQyfx4ssM76gEKvrUDPnxHjS05NxZMFjZINiDfwWlhP1GkzVuMX
WDVH6jqQcdn0rS+n6arpxcFApJaHwtoi7Vg/tB4NIuALUYJnjEx1ngogApFsApikfpBt4HizzuXg
b8gW2mn9iFGSaBldeiUPt/ElmK37n9Sjphqf+ngSJtMkBp3bi1lVmxYwsQ4IU5GfLRCdnE0Qi51d
EPofGLjLyPTJZTrkQ5uswkxpS2OcAihJtuaV8pZtjhRqVyH9CHYMdY+NZLjHFiQIE1XJzWzzupot
3VhEAGjAr01tdXestFgYvotols33EeCKR7NGNXDZOEhSqRgMmGNDR2Fh15eEYceeDuAxwW+9Bbx/
HMa3Gi0S3wm2XZOti1J5R3KOw6a50JHNsoMF2M+Beiy1O4gztpqHUtD8TdM0gMAbTUexf2UuMpRD
/24QmGbaWEUDztws6PsnW0NE2S2j+gBSOfMSe1W54kaqv/a+dXeBEtxA/AEBbE13/FPVJsGpHBs6
ih3wvdoGsmiTDxmpmfoKKYhjCZ31r/O8YJCLunaQgmNXJPejS2rUf1Y5kPzUC0YTHYWg/Li4rK9X
JQCQq2m00HJ9QT5tZBa72Ml+BmTDn7kAy64M1LlhawiPAimRJeUDGZx0VXKv2gEenr5krcRbSG1x
fHAreXGTEqGLCOK6NNpnXbhvh7JY0ihvU3UCbC1bUDcdhLwCGHelXh9q1iMukeM1zWgJLaRuqyAH
ftDHBoUJ1qHqglxDygeHHnTHYyPW8dbQAV8VY5PA4mSrGuvsg7T7ODd80N+7gQJRw2IeoSMalqh3
OwjzbR4jc8nY3xO+9nU8pNeu1g/nUh/43al/6q2B8HVe8ns1WmJEGoHYzScT2QFwBvAZ+E6wJ/I7
mYow3eUyNs/UI7sq8EACvdCJTLS63npXXrcvCP93W0vLcnw9ofmMzao6hqnMoqUuyjezT4ID+dNM
L5B/KeAAD8r1MSHiIILTA0vfI0eCftriV9tIwTYqsN4QjkW8N5OgsdNA8mxEmbcywcqHdE5jr0wX
sBZHr4wVqGzrh0qlAlRL7x9CSsTBwYvz6LnZAPZXhSguAulgXsfZE5Bh+coNvPop7lDS4KhKPQWo
ZFnlXEaPAK9VAG/jJ4bavu+BaVVjtK+GQkoUfPezpZkz8d3rY+1QObijkDmJoHs9pAEH2aCevWgF
24DPy/+uXLveWR231rSYXbFfrmcNN6bZ9b2Nhtf3RSHKlmsgbiCv2DZ3rO+rZ64h7zRfitmraoWd
VvNxKeBear/bsn6/FJpdtBYilh7KYRdehuodsDYgfsw7bA5aHw+gCpAwD/qyDf/Nncr7lfZVvHRQ
rn5LQNp6qERYb0rDtb6hZPSetY37q06LP7QuDZ8rr0ROW/rpXhVJ9FAGqoDIwwWxQAI8+JtTtQH4
UVh3YkBlnfVez5CeDNlPy/5Nngw7lGXkFXypQVVuTKDFTy5yK+sSZYDAaCJCQzZeLtoej3WyzA40
1o+RHiRXGX41k0Mbqc8rVCgqa0O91/J1Cn3hJVB39Yka5IPAeqDxNfWkn0m8Q3BASHJXCbw1jIc0
lItIbk1zgxIhsNsFXbLnSRx9x83mZIhCPVA1290hTbYGBXJ9t8wUkSgbDJK58MC9aHbsCUH46IqX
jZ3TOmCmL6zCXpYCUgjkPHStulrijzhFqTIoG6syuldj42k+u4edvjU8W509fXg3AQb+p27w/EAO
ZNctPUdBBWJRZKPpvsnZmprJb1wNmZR62+r8d42/BmTYwjsoYsO7LYC0N/ye7ZBDD+80wGV4SbgV
nsgEtAZUVdzXeQ4bMuSzjK64GnV4tVjMLgy1oE8MN9BtNOR85XhN8xSOJKTxmYawP2yfAhDSIRg7
VMAhwj1xAV5zEvdOgzQF0ROEEoZeX+A2fgVPaLINwqDf4zkf3x1WQy6gBmGjyt5AgdH+zPXSX1pI
FF0MAPKOQ63r6wbFXq+sYGeULGk/jaABLWxprMciiFMAreQTG9L45GDpfkNG6qPkEiSnSfsHHhAl
VKFGH2oyBFt3uY0YaJrrbGmqOv+FeP4qHuLhh5czqEU3ZnZEUiWFJhw8VD4k31H81l/rvnae2gbw
Dc1G+sl2LAcFkQDjlQOiWYxr9pPNrPyGt40tDdKEtB9ZORDyXPoqlwuHIcnVKv1HJVEBZ2V+txco
bvsujS2Zo8xRKL3DHtfphPEjcfFqY1fuE9KzDOxtKBkuJTN+uCwFQSqKqS8N9OUe/1xVBEO3RzrG
G1cdK2w2oAX2l3WJwu5wsMOj62fhkbqzDXm/AsWMJ7JE4K8EP+iH29QHOy5uDZyrHeJjG4SWwps9
4nexITUWlsjNA8F5Cw6q0AJZ3jWNljqohBSK7BY0WgOVBEhyuCWsL5k+ViPAL60G5WHj0EpQVVdQ
nATUBXtY/PzYRTfd9hXVLW4dW68OMPVAwHhy6rIav4GwR1i99qT1Ok/qK7s7Nw3gwutQr17bGmky
xCedJ+kAZRQH4c9y7JFJOHw/RFy/Uq+Kcnc1+5fATh51bOmAxOk39eBYl7GS4MISNJ4CyRADJxnZ
LUCbLnREjTlwF2FnzEoKjsJgXxn20gfR5M4ZeLmvIeu1SkSsvsuhVQvLcMJzhm3sS85yMBwHCg+E
6N0NKB3kaYUvkyUI592tr39zTZkdga5OURtVvzcoKE9PZAOFc48v8mM4i19pAnn0noEsGfQEDng/
k3rWTo3tAy9tFVGFm1//bgOvKgTWgQbfk01FZoUn9qdJDEBzANaXnHXpiRqhgf2ADUfdTxTI4m0T
LZgZcTk0XHw4RsUOPHcI53OvXtoOqNhFqANPHXq+sRpa5L6Z1NNbCCaUGx3h2S9TL7lyqb1bChUC
+4QC5OUXV9XIrRYgXkp2mmBVgNPFQwZW13HZskh6vA91+lLrPP8c1r1/BgR1hRp9INNHk8YBhlzQ
AHAw1mqwOf5+WgljXSKQbkVXJOyDMzh68JPUJk9yn1ekruhwK0iQlAX+9O9TzX7A62RHnkPOHDg8
O/gpbWm+ePoopWSUvyrdN1+Cv3uo1gc+IUGlLH53WqOEv6RD5aBEdfPVmo1eaRAsQen0iJAaOEXg
Tf8WGfwx6Gl68/u+/eaG9lKAVOKpl2Xy0vkvZWNBlypMasC4cc9sGhQrxhYYJnwjg6CokaFqMDc8
PG9RXQ5mQ4k0YN95JvhTotUYqrlNNmQ4QKYYukjTIWhXrDVwQAwDbuG0Djl2jR+vykKOOZrwZwyA
y6Ycfx7UDPT7ocOQfkQZUHzTUFBGv6QPhjMy+b0Ijo2L6Bdne80BxJ7qVty6kYuC9WxPXRqwghLc
2x82FvsdAKWt7b61rfcG0Wntmoi/+MgA5TS8uf9tmUqpnVBq10j8RQXYk9NowQyqxk50JIxBWLwA
D1P/3ZXZWgD98QJEfXiOQtCMkx3h6GBl9ZBe4ZGlvhcyXTdhmQCqA9mNdGDNlRrmCEggjtJHH6Z2
jB14MeKkH3Yy1aM9gF2XqCYOkGkFNL1kKzA8mMe2GMyjDX2IVTt4EInQuHlsxgbyTUm9Sbgn17YL
cEsYgWYzBiBvD/rQn9TTMjaKxoKehwlcCdmQza5v4OLQN2FoNUt/nNX5TOwBUYDKXm27S8GC7pjE
sfrWRQhR9nH1A4RG6S4MiwTi9jr/Ac2ZW9tmwaNnsr4UAeq8yC7TwMUWduiOXS6n6bHn+Tsz1LK1
1w8gv6m99kfeiAIYeVWfzMqvT3REzeQCWiR82ppvNPl/hJ3Xcty6loafiFXM4bZzlFpqBUs3LMn2
JphzfPr5iPa2fHxmam5QxAJISS02Caz1B4jVlTd5uwK9FVRyWsgkmWd919OcbKE+veEYxZeyq7IT
XhzxXR7EAvXiuvk0mkc5U83DdNmDTbpoER5GtS/STZ0G0avd54D/uVakN9/BE47wCfhpo195u2r+
aUDEqATPy26VnxYYsfpm41axHvv+KfazXVRF4VXV4hc7CNAwLw1x7bJC3eOhZizkoIwVSgo3v7Zu
M/ph+DVDDv6e8XWNqBT5KunsV12rlFVH+uNNq/Qfql2aFyWN68uQI9wh4+S6YdCYqrsP+iR6K55k
1EjNaV+Ug7KKk/iPkxMV29/cbqKHPB322I7YP//jINdLR0Ymr1ZXacoH5Rl6ujUNSGHyJpb3qTwa
LS/dRiFLiK8BeSvLM74GYDC9FSCaH0y0uG0r8H/aZvfWjw56BYKtZFX5JhvbbjoMvSe2mco+MStT
eyF44n23OakYev+nUTRvhp0rL6CkfO4MTnLmk6b5JF8fjcfJb+xFqObV9//+Se78k+RJRuK5WxcR
EpzDAssBKRWUR5fN3FEeBVoLn+mrL4ONNngboyue/or/da7sKm1RHkVHc7vUV79gqcwGlZK9Wxbm
nT03ieOzFCmSrQKO4/hXnLwCJdeKoq6c9nVC4yYxYoFZvsj1QVv5nsmSYt5WNcJyEBCSOym5fXIi
Q1thuvtrPPaUdB9gkDWgYbzCt9fZSNjCZEXFKQHJIHENMtQrwa4OVRRjZ+TDX/PHCSJYZOjjOkh4
nNlW/YhkU/NoA3dcC+FnaxmTTeqPD7kovJPsTbHIz/NJcr4M8V+9M23vwl5554+gviQfs6BnqFa4
vq3/Wquy2UEadfFaqLibkBpKd4lK/lDJRuNCAsq4lCn637gbgq//irmZ2CazkZ6MyUZEvEUbY9iH
qUHuW8bmy+V99+tycV1Xy1SFBCJL1YqLU9CNcEjRwjtG5lnGeXtRzUb65xdtcWrLx0kp1bWngLfr
yqy6T4qxWcMHIiNG4X4Fu6N5Lg0EuPQ6dr6NFpsMXceUYeziu1YVwz8Oueq8NHVI3cquBHgrFno0
bkct0d59Bx4bL9hP18Y3D2rfO6L6+ToZw/wIzQJvGdM2WKcF1qfteQeVZy0wVXzBSt1RdsAbNTT+
zO9yQtKZn40+w1cxHttFTevsZ+FpvMQiHzaB8LYeWOtzmmTDhrqQcx+OVrnW+kI8+kOTw7hAJ8Kx
ymrZNZXzovbmuGhJ/c3qBBruFNcBMakHKihL4BbVFVm86qrlSbPsq7jbydhkFeUpq6JP2ZMnsWZ9
n7y8P8nQUKMlH3retonCbB+oTbvy7bJ8RYV7WiFzo+xkd6yUz8odq3tS7+K1+QmftHwdKTl3TjGg
aNQ//wF9SGdohOzfkBJqEOxY6b7IkByU8Uq3wUnIw0gR7jbrvFfZM+LkpYiz+zxz0WJLEuVANtZH
85PuV+yrK0flPNUZDnaaKs0+jNEQUJ0qv+OLly4bvAnXsovFdn4nRpHfya4xdvh/uPopAIbqLJJE
NdeFH9vLW5//vUfG3nhv4pa89zR5s1a0h1vRIM4ZjDo54SveK81slFzYS7FXgkSzlEVWOf8Yg6oe
5c4rzTEzNyvnKUG78eKPyFHMG7KOet9OEU2x9kvPeDVncHNoeX+cpGc6T+6gC4+a55A9KsZ3f0hG
xIS8fp/7ufnyn/HSUvu9W0bWV7zFGW7tyecy1b0AKhX1FcOMigNVlUf5ipEheaTWdXHo/envOPr+
KFc6w2OjawVlnMQ9OroRPwaTcYxnDLcfaOmxMCCXyi5egeHGExbgWLvOX8vEQrKmSNVTNSO8iz7F
mMf3UTviGpRpb9fohJaCBBUFEqRm9mq5T3IDiOzHdIARG67kvs91nGTZZQ4qaRRK51kJlLNF02nv
9VRVT0XQffhCS77jx/1N64X1pLLI2bb5lOwmuI0UiOqPJozT/38CCvbfCpEGO6ikHgtQhQTGJugA
PGP24b+mJYWqTLF+mGF38RpNf0XLM1u3Xj2ekK0x2F4x1dBy/7Xtm73ZI/AvoJ+uwrwazsHcDJn4
1fzqkpZIkr5eUT+IxoUMytlyYi+w2ZFXEJLFLkfy1vxRDmYE13sIQm1bUoR5mDq8BpN0JA1Y2al1
5g2OIqYxfRgDNSLW9OppMFv1JI8Ah/G0lYfc0+KQuCzj5ikyJJu/uvJcORdqwEbO+LpcE4baH1dv
xbALfPsbpPbSPQKoTT9gXN5PTmZdtTEor5G3xIPausqILwzM3ZCq3csuUhvAQ6GzL2sW6Fechcpr
EK5QLfXQEmz9Zo8vWLXoii6/c6xGOxoT0vBzT4Z8Jf51hOybhrKUsTKRLroXel9TG1U26oinlQzJ
BjQXKoYkwxEKCRt/XBqzRIgO9PzYGe8FabKD7HyF1XlMxmTD4nppj27/GFZoUIsgfx8iPA4mX9d2
rtV532rrMXWG7D0WRr6NQ7/c5nMXU1G/xFQwV4Jpl9lqvJnUKHsXJiULoGFLnyzR0vHy6THHF35f
hbG9kN1bY0GBUhKordY8JR3T5j4Ioo0c9LOZwuhXamQtY9P+HPXIOZe1g0uMIoxlLmkzMng7bNpn
PldIBfM8qkPOWR5BcnDOs9HQ7TQ5YLY20G27xy8k4nOUblrFZHOUZYeoSTHyhNYB7n0OzUdf09o0
T5vbaaIFJZ8rQ7P6mtjLYWne9XWOHKZUj2hGYL7JOHInvELs8hsIvWFN6SPBpIpCzKJg24gMyLJW
Mvf+FmJjNCvqiQjH26K4CCSrcFrC8snrKxMOVQjenYwsnjmIRGWo+s3Ht0jQaHdTWlncFlqEZEYw
OeU6h8a5lIVqVe9H4KR29yt4K3bLunenUzQoFFztv+rackBeQg7IS9wK3rYWk7+s+lf2gdPK9kkU
OnnevkbUaWQ2NNBc1KyNftjIbhU3u8kkM6HBxz3lg6rfsqGJWZOBcKrsXlW67CGtgu9yPppHvy4b
uqQNTRxPrbHpX2DNL0ZwLCcITNWJJUd1yhBwXsw5Nki5/w7IUdnImJz3FUsVfz3WPcT5Qb1rdXd6
ajteaIIawL5h8/Y0GFmMmoSpree93BNp5fQQ+o2/kKNqXDf3U2Ofb6fO57vmo56p3VVGBOu0Iey7
82CLbCNaBR9ds3ue06wPrVFXF79zftS16XxzqJyuUcpvd9NcnWoma80WPXvWQMOcbzWsOV5FGmmA
zHEPphVP39RvajDqD26IpKYW1Q9az2doj1W8d0oTtYLepYrydz+u+3QHCXZ2Lgw/NaR0u6bs3qIK
HaU29tI90JLuSa2sJ9E64lNl0bhQazW/CE2vT6ZKqUtB4v1zNH6diRQbaQB0rqqsOsWtl+8Gt/91
1M1HltJ9U/0O5s8sks3SPt0FZntJaqehvENINl/d7PeAjAVcY5WCnF9+Te5d28Ak0Ahx5G0me1Gk
QB2pdeCu7fTjUz/E/r0tvINlTMirWaDMPQqzj4ptDE+eAh3ENYv0VFbx+DRq+riC5t5s0QxGUF1L
4X7NL6Qi7u9SsByn24cZK8Nd5zn9CZw8n+08OsLOWLODbRYyU4y6HhoLZLCzJTJk3vqv9HHpNinS
jzGyoK3loEGJyzBC0ke9B883GOO16cPiXnGVeFEV3vBN8WttjRVmvpPdSan5c6LpijyYe4BZso96
WyyRNWs/EySqEab2f7q+9+SIzHr1LBVkZ2bVd7oIokMAhn+budQG/QELeh/G0OfQoAtvVuV1AGew
0HydgiuC1Lt6zlDy+I9XztyVCUs5Og6dvquomT5/dTtTdA+4wkWLvCIvZ+aPEtqdZ6j1lX0cryNc
P3lW/hqUyHA08uDAmj4cdFkwnJtu2hsT/DsJBf+/zv66tDxbzr3Fqn1UvEC2Fz+skd+F6nP9VBeR
u8mwMzgIy6jujSm2lhMi6x+D4iNr3Nm3uUDyi2PE50GCR1xF1W/TogWhPfe6IVUB20LB8zWdB4MC
Pg3N8WEVj26zdEDy9mQZYlplMgKcgNsYhYKerCdqPWcZk82Q7Ksq1k6q0hvL3m/EpwNTUZT8o3wn
QQTOZVWdRZZ4GamSZZorPpPQQzwislDAnZTx/J9nRhbCn1ZiaZAfk0ULSfpbimDAVniQC3koWe8n
A1+Zd9z3/I2K6RX3tqBA5RYLGQ8VqvigvaO9m6Xey2TGfIGTVaTiEqcVefPUGkvD81y0uGP3Kc+n
fRRN/SUoB/dJS+N0kShueZKDpUcRRG9daye7Cpn0TaW7/IMNLbsi07dgs+BvVf7gVdMb4mVSR3tD
MtaAgkcXIVNrnTQTZj5ztx4qdzU0wtneJreugDal71s9TlYecKGzqLESQ/hbHRbkSOg7QO1ELfoN
aqJGx2xzOM2Ogzx9nQ+tPjaYwbzXfRJsElPDVpuNxJObRC+ZCc7T086+acd3gfVv42EWuFIK1L/k
gEggKeUGtRfqWWcnwskI8D7ML13LVrIrB3g94/U1j2Zqqy7rLvkO/NBYGI3uPtgi9B76YQRGBFlx
PaJ1EC2nHrhQlET+7tbXkwrfLdU4y9kawvyXEuq5vIBsXCM++QUi6TbUkd5r723QsP4WEbpLaen5
AVCEeyc1k29HWoER3pQ7qI0wgHrftK/07tJRpS/hIMXjEThg8etQbXt75aga+tXziOcbkbKUh7f5
ao+aVdjZg22BunayjSV6Z1lNAIA6fAmeXHBTu84u8QObEW1th1RkoiNG3oUO+Jyu4lfXy3s5WHr6
T8uaU2suoCJD06J7x7E63H/QC92VsGAonhFETbw32el26onU320iXsCxskr1hs1vi5pDEcT3htF5
6whbsIWqFybbAqdD+rTMHnMykqdybrIqjzB7nQ/NUX0qPB0MBzvgqBns+8T1ChIEOInYum8eZUw2
LnnqYyrCg1649n0GgzkNvW8lftsgxtLvoT+bPOB6fvFTIzyavjms8yFo337PqHBbXGTzDI1i6pGr
D3NN+I8Z8hpq5WcXjDrROktzbKgdzLeCfHwvQ3EsmjZ9BoA3HL7ikRb+EY9bzVlhtja+/y9xGL8n
Ta/Ce+gx9TGxKpw4lTy+ymaCgGPEFi5Mc8hhRwY5H7c1B9bY1cxsHUqFelTsb9Ca/X8axb0EjaG8
67wxF1nkqM9RHwMsSH3vMobWuKnKEcPUgv38EGUl+kuTOKd+2m50PMousTEX0TE9xyopepsUswfk
wBrQcPFOiXOK62j3vql9P+3yWpvWNcKfsCUpiUWQpqm40LhJPiE8LvArpMe/xjwjoqSOK6Tr9JWY
ImMJLd4Ae4j89jR6/cIxurJb1GNvn/qG4jnQRz/Wp+jaudSKTFVF5iyO2nLFPiY/aGjLnmVj89Cq
52UA79Dqodcc4HL/HYpUZSsnyKnTfLbLrDTrgHDLkwzFvV3ntqYI+ebXpRmtA6OKc14buTgCWfnH
LUODl73vVxehEutUj2EAvsHRihp9a7E3CEFQ3yv4eW60GkguunsZtc85mAh32A4dxld/BD07H3eW
r4g/g4kItP1gj5DRY85GzbO89yZhHxAdurudLGPIioen2pm2YdrlKMdOWnGvW6I+132GCuRXLKFq
7g6bP0JqpMZnfcBFodmmEWipeG5MM/gkixSegTeWT25taysbQVJqrf7Kj/Qct58qxEG4Bhhchxd+
/K8GgTPYOMC4lnLg19y4OlimH59GEZYQomIFif7uGQMUBHP72rv2c2M9RL6jX4GEeNfaDhwAPRhN
yaFUabNdUvu8jueZMXWgBwfzVDlXhjpS+Auk7ZNTZcWkbzr8Mr8yBjKBEFs2v1WI0kFIHXbrNO2p
zIvx0Cn11bQVCoa2k3/ABDuEUfYgEzgAlCn8w0m9xoWr7ApLibdjEzvXyfqWDSZCsUNmbvjXWI/l
WHePLhWuorEeZaObfr1Bnn4kjR+laLZy900aX245P8TBbM+9jbxx8xR1DrjslvtrJQ9RHuxb4MVI
W1gASpcyGAKHszd6hLma7JPRI2U/Qq4zE8Qbyz48GmkX5CvbdgYMD8dfjWmC0+kbd38bHctphLKY
AclaZn2LzgaCG6OLU5w8Uvoe/hbgUArz89E8qiBDgfjU1OjPqEjrF9uKT7IXJIN+STtxwqgtWqqp
cNZeorNucRpEUTMNV8Y0a+2Y7YtSlCuYUhAaZrzEF1TiqwsPq4hXlNV3lTkX2ed5SuVSvvK1eHrJ
4FWf2xQ+w0xLoJLHsoNXGoCQ2wo9KqgekewSdu5QDm3eJNxlYL/nIed7L3EvJnqnSys1670cTNzA
3BQpJk9y1CojEx0wpNnkaFVN5WM0KjcUDVgY/zCGHgJMLEYpvrTmS+sWdzUGvN/rdMgXRlD1j86o
1tCNMbwV4c8ALzaw/9BbeLAV5Z01N7x/uzXfg2opY32jFHdmXRbaQmvgVOHYma7y2aBCjozVkKxg
h7jrsawa3sFK8aRjHbaZciU6kefCOSIdk02o+tpeaO1Pt7XUe8Q/H27/riLWvnrN3MMO7EHvbP6V
/9H7fV6Sq+y/wijYyxrPpIfR0hzSZie7WscOLdZEupA7DfymDbIrzxI1EXe3DrXKi+/itxIYnbUG
bTwtSoHKrZWx7ltoWRIghjMfRuRuN7Y/FejeztzHvg32SYfsg91r/UuCz0pqq9q7Te1i3fIX7rt4
8J6TydjlczxrhODyaXVo4rB6NvA79QIvh5hdFGu8KXloGZGZLmpwb9t0LLphW+Rg67why9GWncft
MIAV0KkjNR+9Pg5zY1I2PsquCXJvNRjo10EyeWZN1uH/6VUPSMhVD7UevEwaXHNzhir8DrV20B3Z
he8nvdhkQLYOt6Y2/j36z5jOVx9pjJlhNw+kbasc4rm5dZPx3Gc96RjF1BCkmTdfQa1/WCUcBNlL
SiVFcJMnj9xg9dj+AEUHdJCL8ac2+FgodMVnEeWI3VhK+pC0otiVaR7s49JILmrXaMsMMvU729Pt
4NqYt+sqgILJCz9j9NAOskl/H1W15R6itPo1ILtoi+wtyjjo22n1qZyqX03++0jG1ApFdpuHLalJ
fN3ASuiAIt1k4jkcUyptivxbhSfGqk6rYi+7oup2UzXaV0ip1r2WTj8D/dMTyh0iEfWr4ibGrkZG
Bi1wujAY41VNVn4vu0konlrX1i7GmGXPAjyvDIvATs9Zb3P79WMNZq1Pt6PNDkuOoowFYAbobpvv
fNe2PhSNkp9T4HZqZmy8qslvTwq6gkcnVtOtnVvKIZQfWAfBYHjw+nxRFgZeBKkw3lo8XIpwfA/r
ABmZP8Ns0P4rPPX8SH98F53l/zGbsJwN0+rPi/wb/pqteAqmC64XP3pB+VkOhvdoOp19UEaFYmzn
Th/ViAGRq+hvre0Z0Oyx8tBGNXsJS+0gJ6haYi7ZwWbnyOmVe7cKtIUcGKgBlkq7M/K6Oowehhzq
3OBP1iYLGWT9Vh3kUa40yk44wVJEA5zRpL7TxjHYhRCqqsUthnL1jlTDa90Vw73S8GQT7iTei6rk
+dyH6XmAP09R2nyS8c7ztBXg/f5gD2P9grLhWsbNwa03TmIkO3xOis2ottUYoNxmPPmF+R3Jf9b/
LelAkywgmmIAz3u0f6wqK55Tt8nOXZL6Cxmvtd5fpqErjpgHlN9aZyXPrrgLD45JvUSwL/uGnCVq
cGEX3hUw/jZTO5kLEYbuWrHNaK8rEMHbpFglseu8jaERT4iK250KuptKvGzs+4py7zWaA2pJ1dsC
DcC9TtfFyXQfaHj1kfft2YizEQFPnVN8SK1rrPnp1uoMa+8nhXtPSXdcmqaZfyaRzQLAGu+T3OnX
0JOiKf0eVLywExCb58pOqvPYhNmqGc3kTdjdslP9GiaJgOwkgMnssD1gD5cUVO1+N2EwoezWFfHC
rYNgE9ujRfHfh9c0wViTR9l8JBxgq/JIxhog3ifTidC6A6uyGnrENoc4yy7T3ECvtO5ieIWyZydj
dmkjF4WeMdu7BcYViRpaG0za6gcck+sHPcec3m9wqoUiUj3IJhw7fSnnya6cXHilvpxqi9SzrNIO
aeTceapTPBbTTj4l5bMRjdh4DaSCXBeE+42RlegXyjKYWiCl326QfTER01Ufetfw95Wmxvt+VEtA
YFi7yKNmjk1dVR5NkOR7bT6S82pV7XakqjGM6PVHEOjHRB+M1xhN3EMUZSG3E13TzSGc42C0l90m
NgDT6tEj2ENsTCcA9UHy7KWh9TRarfVUdOm+zoPhIkOWT3Ug1k37KAf7DKiR1hnKVo7mWhMAdgd1
RCX1WrvuG8jZ6iAbBQ2qZPHV90u+xHkZE/RMHni+yIcFiQyMjcFK7oVibuNBRM1jEgh1QQbCWmb1
jI+bb9NhFtBIFRW1DFFdZAhaU7cS/MO3AYYHVzvv/SNV9VfhPGfeqGcHuaFrqirZW5oNpWXe0Tlu
RaG314qNHJ308VIG6afvzrDdyMqOcgEju0o8wyTmNYsVAi+So1qVGc/O3E3nyXJUTlahO5B0Svfs
VNM7ZlmAP9n/t+4+cdr0cwpKVllt2+Ebm/1jTVX0IrJ/JLo5GCisVqkKJ0zCmVtA4UrcDlvZNSBr
LAxXF/cD4IiZzdAsJsvuz53dDmd5hNwlr1m3iteyG9jxcDb57RAVgL8exmTwdIwcFFRqr4iiJguy
k9WP0bDX8Cby97SL+5XIPBxoYBeIhe0N49UykvEqAsR9FT1Nd7IbKREKv4MSYp3CFDlPm8LTFAfO
3e2sMvPXpV3h+dnoCpv7JNvEfrrXyUk92I41kKVwTmypkInqp/E5dJIHY5ymezlmK8VLFxf2nRwL
euVj0IvwTo7pSS9QyajKsxycHIw02orEhRyNc4wUNOxfjnK07GxzYUxedpSjmJuEbADK6VDo6fjc
tAauqW40gx75jQBjI/maV9VejvJNgkqkmFjDzKP4wVer8qgOpbpxLCt+kE3SxN5Ks0meqfiB3mJT
lpZwbzRvKafIAQt02laogbf4iuWsaPd8qaKFWVP4XZKtIL/vDrer3OYpswJMaK891wHXk07WQmlQ
wxg3uiiND7I0Gsh0BLCHxLCvWRq8FqYLLjPH61ckPGQCpAmhTqT4N5aW8JdepNu439b21H6ogd4f
iu61KLo3Qz+6WVe84bz4SGJFfWRjAykjr+BoznE9NmHAjxAlEB2PXxPQgLbjQQ0SWbQFagQOOleg
XbiO/RqT+d002Itshqq1X0Mbj6XMbyBSYhv1YuYXGbZJ8WEVyD5bdlvDJjNM8Xzj1wmuhb8bh2L3
rdv0uLKaXWytvmJ/zUtNwMBKnuFWxEXyEauSeoQ5HHnA9DJMpEgvq+bdlLOrzJJ2XCG2kZ2NQc/O
mVs60faldM30DKkjYGNetnDFZ1BDYPHcu6sFv2EFqPo2VZ5lqLW1xgNIXyj1fGVL8Y46HI69Z2RK
vzDn6bj9bqbMQfAlUofbe91WEwbDBteGBiRVkOJzMr/gY/79W5hGDZqrrBZqbXwCgOU8dE6SXNhq
/yNXBYYWd+uuafXbmkJo2irWeByR1XLJW0EEk2ebamMtyxJVwWqI3dcxOOM2GLzU9rjSAGdtrbh2
d4attY+GgXIfvtHWd6UCfuYD0s0dEpeorHtHo1aHuzwHmwuOOPrup+QpfPO7MjrNsiua7n5IneiI
+TEcENcLv/nkG28zanKzzOivA6mEnco6YjepyXB1axFz+3ARwMZHyPOC0qRjruWFfGF29yysMeCV
M0AKiir8rlqpsxxGpb/zXR7vbpqRV3X68k2NxVbOdNoCV6egbB8b4bo7wbt0q4tIewIY/Sn/OIM1
AKVl56UBfbYRM09Ob73uQtoQibj5zy9ZTQaRbn5A9sOzAwbAualzRH+AMK+K/qn363aV9AgwlK3S
v84622zX+rehT9Id/NJ446VO/+bG6TmyoQdhR1+cHR3ymozj9QaNLTOJFZl5ReaRaSgRNWhj86Xl
y1wPQf9eqJRIkfx96YCl7H3wmesmH7v3ViTUYnv/ue+8hCod6GUZh3V9sCg5P5cICZJ3x9Rbxssi
OaumNW7zrCBfXs7KoTcxUKH8DHzd3P4Zm/EPecSOJm0VbqVZbHQqsF9vanXatG0UwSdKxSmdFxIY
xC3ZmNXPOTa8920ZfbcSxXi1q1zZKgBi1s7cncxow3LQA8SCL8CDwiYxEGn0o1Arc2Gq+vDQIdGw
b9qk3k5p3j4VdvCPnKHE3gFpyobls1qvdUgGxwIhUrjXU7jS0Sn48HCWmIzimJhecJZNPGbidvQV
6y1+T8CCf0yLfp/wv0yztPLhtv8MKXHtnACYwqIwI/tMxQ472qJEbF2o9bSiPmuf67kpev0paEp7
J+e1zdhMK6G2+tL2c77jIdB/MjnqubCVlbDc7FjMPRn6ahSnxKzK9G5T/zgLCyXsD6Ha7wLDfP17
AJUe9Wy5/jYquLGSEoha5qbHMJ3So+wC9bRxuPvdl0dyTqzq1q+ReB6WI7dmqk12XXMdvV1gpASA
aG56DzGW/+obniXgQCWLEpUj9Cymvcr6cW06ehAsIaVqG3bO0xLKsqIsujAx9moRIWuyGXkUn9Mi
fpvsiVejohdnxaeR8a8uwPt2o6YKO7d5ij1l3iaOLCw1bYzdLIBByyz00/uiLnnVO6qF0JPVpYs/
ghb1v0MgIiRDpvT+q8kcwFO29vgVKeYroUIK1iVzZ8RAP20GZ7CvTs1HUY9Z+ZMSWE9+46fm87ka
ldY+BZqVw42z+iOQgODc526xzpDBfenz/sOLW/3n6ITLSq39zyIxA/zQTP8h5lW4nYLA2MdqFqG5
LtLVhBfXWwHKWf4A3ZkAfaremx4GeFmRiUf+pSz2pqmGO0VVqgfTHSEHTjDqczTdqU6G940Gvz2z
/ALdlWhYUPQaLs4snS+PKDulGuaKigPPbwGWGpExvrJbO5nYh0adMHZw4LD6m09DxAsRcpa06zAe
JnhZVbl0EyW6Qy8B4VNLR8VVExncrSFM5jphfLHno8xxDtSA45MMyUabCx8CMPLiKyaPpnJ8tYrB
m9VLnnCXMDZZZoDnnhvVZS3gxKxG+x5BMBkLAPvtszoTCxkLoFtcIFPWdzF6Fp6t6NTP5nNLlydj
Fqd3sifnavMCqjUxDLD0Ktmy8HQOAZvEJVia2TAPc+s6nTWFQHCDkJr7SmP3+9CaS0oFaOvGcoMa
DTnSh+PcyCNM/oJdbAInCKykv8OlCDag3p7jRFvmTvCjhih4gGQsHkXlCpQ2PjShGRcZSUSWnlyE
ZAIWlRtdM72NzEvLzLMk7w0YIW0sf4wXMjYk4S5FIRyTMnLTFALycSMHbqPzZI2lCkyjmf4X9I1z
EM0gXnu0blMLedWC7f1xMISyVHksv405S2l0FMyL5TjpPdlctHh49L4hQIyJCpKE56gLiqvhVw8y
joJDvB6TwgScE0LS1bHbnedPtdFAfuFNLK8be/oSSWv/hBrtsKsbD5YPi6klnwAsv7lrh1aH+mSW
jqvKypDtmG0d8dhU9oHORZvZ11E2wdSQAE88Y2fOUxyUUR5w5ftjRub1D1FofLfrY03654dgYQzp
ttAfC5SAtoNS+vvBcQPU3UKq9GBt38wuOjrV2P0kkXSntrX+zUiLf/wmfG+VIb7rhprnhYIYpVYI
88mIwmiRQK3/GeCF2/GwZA+n8flMIcwBHw9tr8mSHfB3h/Qbj/BkysIfRoTKAl5BrmnkrEaDo6Gn
zo/QAw4Dhvul0W19zfqS3Whe9meEm/UVluvibZ4KD/6YKrPWu2mLKwkkb+kn1McsoxVX+Pb6vaJ2
m6LUwm2b+OZedEa6xXQeUf64NL+ZULGw5BUftWKp69y1tH2LhfVzxGKrN6bggwdKsSLDbB7NoNIe
2ay/y7iwWpLm5GEoyulrXe2VZ1OxDsgB1h/RUClLJTSn05hX4UNVqfmCUmP1YaJbxF3g2ReHB+cp
7Dq+L/OAYzjHSLfcFWaKITJ3/72qN0rxHXbCuP0a/Gtl35ZOujPa7OUrDrFZYDlGVWDg8XtqJI53
RuTCxWzYYB3rudP+buQEOdWRMOB/p9lwVKj+/56XhayijDpFt9tIH6PG9e88TKDDJsoeZYiEjobE
ZEr9wTWdeBnAeERiUa12cjiFJ7tVe+xN4qr8CYA33uezQQYyvXhQCOxHMC5AkWWOyaa0ZjaohgHl
HGqqoQblUYP9ofKNl0bwoaNkuc6UttzrAR9BnICZmOPkmCYsG/z0GKh5d21K9VnGkwHjpCLNyvP/
cHZezXHjUJv+RaxiDreds1rBSjcse+xhzgTTr9+HaI97Pu3s1tbesIADgLLkbhI45w1Gk7pXo7Fy
JFX4HAB6Vxe6GU8Piq11l05B0SMo8/pbbyr90s36hCKvzs7dHxBZzYtP30TyyPcwSxONVnx2O7Ru
488RRvqu9VGXbOaoh/jeCAce8YuqQh3PHte3xZq6881g+oZagHGIilxd4d6cH9qhapd8ObMX92/y
/P6zbNuNXiwczqMYhcX5i5IkgCzTlpzp3NX4fU+hTcpOdutS95cFCEYOVmZ77OOoBoaUTJ+xr19V
EsTPJAfEUfFcKvSVPn6OnnkNA0N5NjzKalSVMMeZPTsFUtcPArEz0/Litdo1wyG1e6xnBtVejEm+
7OrW8hzQsYm99xXnOuSx+DHZ6k8NAvaHYo0QSeOufKt4Hiw9qD0vBvo4K18M2lNlTcoq5dl2VSoz
2liJNV4iY6ogwOvGySBZuGudlDp0S/IJ+g6g8T+XFD3i/+xak//WjnWwlXO/TJOGA19jPEHqxQC7
cav507f7smRoGEicAqWQxEiiZdVhq1GLSgfUau6ioio5XpkmtXFP1S+2hZeLLtgWCEXRLq2cNw/I
bjfZH60l/J1cLwflBbTbsLcrsD3z1Nuiebk5GJRHRrUfN72vKo/YnRbJInznICjOk+u0t4vsQk7Z
6WhcHb7E7109iHaCOt1bqiIA07hwsgucavbwxOstuBP7CZChBm4i0X/2yrowHAqUM/a999wAI1wf
X6OwsQ/gBYIL+zx1pftu/c4xE6szt/3lCHFQkWr6yKJwmQ2Y83z5GSNW0P/xM7rA/v0zrNL498/w
2bCvarVq5M8w4kbIn4E+pvHRqA08XIBd56RCS2omiCaac6lKyz2LmSAKpB5mWxemS9lVyrjno6dE
ZPlrBV6GmzvQa/JW+zTr5mibhfl36GLsWqTGDwyxjUWFmccz1lPRJjFjfG30gtN3Yyob3wbrmZRA
X26cA1zkFmnVi1UldAClM8QziOp/d5tRE6sa+ehdNUM85ajsdo3+u/tlrdV3kIP1+HveYFJmGJju
xj1CPUhpZb/7Nxc12Xcbpdql9/Ha7F4A1K8SPXCOSWHGt+93WujPXZKI5zyovsZhrbXPQMWsdTl5
34CuOGQfhb6FkWg82j7qrhiOIKAzYR5QDP6vMY6fOZ+n70aYdqtkGvSLiecBMsltgBNRTOl7PaLH
sdCyCojWfPGBGFyLsHrD/aU5kMJCbhe7OhNJ72RhmWWyzcswWpkzhU1eUgemgpieJg1mG5ssfeWa
w4i6HBM0JD6ACdgQQ+BBLQfB/9jkBM5eafHattUGgHLalOjl9C0q8456FYNwznKtO9nt1q2AP4bI
daC3BowKf60G6+MU/MSEx0YuUUYUDP5HX45TsFY2suJR5OF1SExna+aDvq6dUHmCmV4hUAzixDCK
zyThK9R5/iJNkiJceLOzS1Q7f7GzixYmepBvZkXGG16a8Rh0sIm0oILA6bvG3ipJN8Ve5Z+tCZ2f
ejtMSM5JYr40mUTcBDD4n5hda/Vj548F2iM9UiJzV04GiFDsOjkPq7Cl1fXN3orsDADEmP1lsH0J
4mJ4NXvhbww03/eumhlPY+Z9nTHNBEc5wzNs/alLtTMpkrVtQ0qVuhgOYvTLvA7H3V0mA3PfEiLi
kxTEwOPY2/VTAlaI2s2GXEsBSFoNn4GN/CqbSD/KnhgH9aCW4FKk8JGMJZr1CxNS7TajmWeUg4JZ
87zcDZBtsPwgQQazmHYRqJ1FMStB36kUitX9HpBsCzkgGRhyhTeKaHGPyZb3Z8V/DXSbTrfzi5ek
WHQ7faNu0AnEYWmmGjlDhtDTGAHNm/cqaD4G7lJv0O8s/UZBHspz0Pgr62YfacpVxkRiKOfbbNlv
O2fXKhn0InkHrbeVjavq1d6CIOoplYHoDb+4pTnOTh1Qv0a7GiR4Mli3UfmHc+ZRR+jk8CeQ7hx0
lXP0ROEp+Jun++2B51c8rHX9rWjtgpKjrZIZiMad1nfVHkXF6WI6oEMne2xf1ZJirRb1wzHo4J9o
eLUL9MO1LlhZaSwWnlUYex2XDwSfMu21Vzu+qRB3NtM0aa95g4ZSBFBmL0e1ukXopNajsxwNCkwX
m3h8HGbsEE5DpT7uUKZkZ1GV4tLOF8XS82NWK1vZa/RJXFTfR4gcSsMmt9VHgF9YHtSuhvb93JSX
YXjoFOra47z7rUMKwbfB27w8BDxbQA8aZ1WuZTk00SrQq3HFdxF0OvIzSOj3bfuti+udjeD45xj2
3gqprYl8t6O/CCsAoUccbl21UjVv4lhlls+9139Ls8z69FVK9PCQ9FNUGMhPKcNPGVeQA1uS2SNV
lijqNa6HRatPL9BcxIsDzeFZFx9JGFjtcqwqHtpKdRG+3b6QWrGWepH3Ozl1clNtq8R2tWIHli6K
0R3OrRKgvMZze48LavymAbtRZqBClORf45S8x0+4cLyrjCcpJJ34ZXGUrXvXjqM3yKvvDZsZktau
/igvfg853VMtDnN/YmFqf/qiT49F+eJnOKu0tTdurTnp20Tlqu1S8ZqCFzk2dRauMKTpP/IxqRY+
25JVF5X9sppVtIqcPWFlG+lGdsM86q9eBV1rHnRGJ3/WLQ06nhPFu6Z0ki3KrOhaIqLyWKrTIcWp
9ix78lIV1XMP0P0YuSpQwXlW1yo//UAHizT3ZNwM+oaDMnQ6ayCDYmCrWf0Y0KfbuDzU0KeeCQmu
vOJwHp4rV7yF1eCvwZhY9dqci/HJgGfQUMZ7VUGKbQOJOxseDVi7xTKrm5E8We4ep1KP+PB3WXbE
XaAG8t6EZ7DMBZIKfBqydrg1ZV9egp4XJO4/yuYem2o961aQusD6h8a2cY62r4iV3po9epeO9iba
ZNFbdfdRGla9mypdWcuuPrKXt3vYMt068N3ow8Ddo5r40Hamw3fKyuDvzXFVRbC3MXvtkAZ+864i
zDGHG5tjwQwGRzmFblJr2aJGtuOcjX68k5nskdS8HTvQlqq+n7FQziOiTjyzRPHmpGZ0RGu7Wcpu
hGb8Jgy8eCu7AYI6izwJp5PsJqOxnno/3w8KSktjGCPbPFT1Qp81OKIOSV4KQumhhaz04W8dvVDe
Y6OvDpEIxModFOtkQhnd4m5jb1TSHuwGgOtP0eheiiH/3XL7g+rH2S0sx6IKG9F6Nq5t1OC7SyZg
ep0rcmlXu85CiUgRYM3xQy0r5eEWK+yqWToDENK6VvwHeRnnYVt8K3sDisAclhGhqtbWq7wRe6gY
V72YLckiD5U9yvg+dPfa2SM1zvbAbqlyxvg/nYwhv1qoojxmWp08ii4YLwneDLIn4/IynaA+BI/o
YzVrt8MGBdfi9OjEvVbggBamx3/1ZVMGg8TnEx5bzzKEmQCZCopr6VGOAsPKKv+vEuD5OcgmEvF6
agyrqdejVdlhDHfryyFVj396dTMsIIwhDD4WPM5V31tYXTn+FK+d4ts/C72zFux7gie2BdXODsGx
hoVlHey05awHu6GfGQ99D9pWmNFV9pyqG5aJr5o72dXttNhRQHOg0bCAZEVN2oDT+YzoUlVDbA00
2N4zB36B52XPed2BquQ4TkoaraEI3VKEIxBkteQ0gWVJqYXPY+9aD+gggUiatYZAgSBniez5Vq6q
x+HsYeLypNboGg4uG80cz3VHf4ZTbDy7UFyXYVFD+J+7oYdhhWek5kJ2gZsbz2oesVOw0ye5Skv7
v2J1HK9i8pJncqiWKN2nGF7Js1NGFA1bx13Lbm/43SOyfAu90Rqw205xoiAb7xMFg+0JUY1HUkyA
PtkP/UBADC6NLX6lbfu31+TDN5R63LVX2f5xREXj5Nk8qsI8UV89N/3QU7v7NXXeqvFN4zvpNbEM
8nUxc5/YSqjXBMnQhcwYRH7IkS7DQBo2l3oNS7iwMmWQztmR1lPSy33FfUCu0LB6hOcfcvCyYkt5
QlloObSa8lr1M+SDOtBCdtMA3M6AmSCv4Ch441gHjjRWnK0cRUxAW4B9Gk9yVNNyALRJ/9TUklG5
yPDKUjVh/6xbP15Yk9u8pB5FdTcdIB97YQPEngKvl5vj9wampxKgVGOpnXXRvW7nWbr6V1KXv4zO
Vd/xv0iWjd2nLwXlmJXbOMnV6nx3gyLUdGrCBvnAmYkBjG06eXnjbchEJVdVZ68U6nXyElHJXMpb
zfcsB3P6SwvVnTOaWH4lVJ8itopYGWk1GV63mMCN+yOUgJaCGUi98eRBtYQo9KnPHXmp5OC/psho
i9lK6yjj7l9zZFPeUCuxRawag0R7fxSFFW+semiXwM6nh07Txodkbilw+9jiWcVaxu4DaQQPuO0q
qkfz5PuAHZVPeH/2hy/xCBce/hDxyW/MQ2EiDh7WVvvevtmpr707mhscJ/CJy9qvSSJHFXCDya9R
fFH914EngZxmBFV0UOH0kAll1RRHFhkvFOF1lPm/UU1ZyeVVQh4uIDu/bhtDXSGTPq5zq3Bw5h3s
RxN6165I3W6XxJytND3Hahyw6k8ebgnPocjnFOI1nv0Y8r92m9lpgfk42vGfmf3YkoOeZ4IZDRdp
ATXN6FESlBftT0t2xWCmx6jPfo/eY2Wc8wCW/djoSHWRRsEk2TqCe0arIODpd5T9Qst+t1R1iJZI
STSre+w2xXVYIpsqVfiFhqLjSldC5ajMupXVrGDZmp1Tk8T5p6/kiziwkOmbI/cwgjns3g1g8hSx
mlVsIW3ioXP2XlP0CVUkNbFiz65G2nyXYccsGkpfRYbPfBexF5zzQrz2ILaAkkBaB0Y6qw0rrI6g
LQfEG+v4PatMdemP9DBX3PLoRLzVQ+JBFU9J46sYXqbdtgtic3kbq4T1bodKgscJo4ZnihPcdVAw
/ZQtEYD2bjfiDxfhlSKGQ4XSdSCcDz7X5tbQ0nAr97T/I5yoTYgtQxx/y20RhYjGJ3Z08GGGTZTs
OJLZHDaPvJJRv/wTA+2nnOWoUfrfTMewdrIn45o8lqGPHqK/Gg9LGfQSLV71GEwigFUV53JwyN1p
3aFh03b2kxjylxyQfdmaJl79HFWKTRUXJIxkMCB3uXKTEH7Dxi1jc1Vh6X005he4m1umt5N9eSnm
EdlS0waFFSVFC2Xsa07DZWZ7u8L41DVVHHx2hkcvBhDvzBfZ+hL7V7cIzJ1iD9v/miZj2eT/NWj4
UzvCRxwfOCsKQE33gniffo2DcTvMPXkBfr7R8zkjPIdiIK7IjlCqlV3XBaqFiL+3BnHdvdh+970t
QnU7eu0VeK3yGAvdf8wmz9hqJvrUsisHemGS/LONbtNYlX+bB6qFfUqKLHueQlzJnMciarzbjQbF
0E/zbRET5T4wQROY/4G+0GC07vqi8xZa7zZPVVW0T71DeZctJXzsKZ7SJQSTuq2f5IRJS9Ml6FZx
VYI+oKjhTa8jQLVlDoDuVca+tPo/o1/nceh9MpJyr2sjNi2xZs0ekjtJTkScO4GeVyUHN4jsb+pg
/SueIZPCMUx7bL3ROTtT9X1y23Qne5y2nLNscb5HryPryl0eRZ9f4nIGotfdNgmpFqjhNFzkhaLi
eIE4y06BZI4MuSoawbcpsQ5PqwV0cxuRk+9rXTfIFmXhYtwkvN/3k6Nw6mcn2c2XcAQQeKtq7d+h
DXvcAlN50Kghv2GAfMp1UTxReY2fs1TdZUHbv4mkio9KMoqlMc+CcN+ufSh4WzmalQ2IVy1xL9TQ
/FdKz/JeIW7SFwt00qJy8uGty5QGxA2uHzjLnLFstQ9J6OM40tqXTouci2zJS9lm0KFE3uxQMqBG
SuHOvui+ilmahZPuxAcP6cF5IWA/+5Ibxhalzdm9hFBb8RZRM3ZdoWkuRJLEn0UaojuR4kbgRWby
lFTsoJRC7X+4gfLWWEP1UiG8sPOxKd50Yzm9aY22kxPylM0EG5TyoSdbfTKhh68KkfbIQV+TMdBP
kJ+jhSGiBCPEmkfF3Io79XdLxvxhGtiz9Jh7o8eW2+bKdEbteL8MMco2owBtWnfBdgIJSpWy5TiD
qDywXAQZZKucAvXk4dCWFprzWRYRQgY4wJzsfFKfCjX+lPFi6pplBYztrFOTvVYDgEo5kHNsXCjo
NDzobZg8VDD9bgPZvKFsHMGDok/68xgFZ/be137UkgfJQ5aXSABari1SbrFfJQ88UqNNmqWzrLqd
PtgqNqBJjVWoC1PgwZ8vcgA56mJrRsrIbrz/HTMta4+Gl/OABCIp50ATOyil0TcAAwaAc9hAjiIi
BM1aaxtHar+So8JAo8SzqKbKLrA75TTaNbCAeXI4oOZVI24jB/Mh3gqcFheS25f/IfjJrj4Vw8me
mX99N7RHv15XFptCs5rSLe+DItsCp23O6BGqq9YwxqUQkK8HvNJfnFo8ZCqsRtt305NAhG5ZWGHy
WTllsKBsHpFJDoAgui5sh0xrv9VZskaWI8F7Q9ebjXChQZRZi/QIXLr6MgRJscvqNjpkqYMHbw5l
LHdy5SwvVTj+bonS6I5hm63voS/ThFa/Dbqu7r7EZddSjXhFalSvfjThU5uk2Y2U2A4IjcquOkPG
R59Xoqo56UlixOWo7EoE+X2yhJvfu3nnLCcP+6PK9NwH9oHhgv1HBIAd6TYZoyrgwVMpls4cuset
pqw2aYxgnhwofbSXquh75YwcFrS4/hGKemVPTvgxTmOzieoItlWa6s9FlX+XE4SOBFCbVfFTjavN
QQMVsQ6Qvf0sEO6b79BzsIIIPdWHDqYt9jHRXgPHsdGzsv6+lNe2baA4qEG8F57hf+sgx5nzaFyX
wWocteGkul76mPAJWMgFEW4QN/pEbkaoxsVe8NA7vQ4VZeqT6OrEya8maNpzArXvG3UBA67rFB/z
tM++DWphLjPDhVU2jyZiCtZs9ABzBrPSkTVYA5J8njmArK/EOY/tjUBz+mDLkdt4UyfvYV/DhlQF
eniJ2Jupl+ATxaXztXOh47ElQ8GADH43RGQ9hjJ9MXS927dOmSzlKFL+4jENy5XsaVafvLRNisjd
myS+3Dku/Ht6PPZQYI68qbmRX4K5JQecxgJuPA7T5gZIJKuCvLi3pGTbP2hW7T1klAke4tZ3twaP
3QVJMe+hJn3vkG+igDeNWb2VQTm7YHNxsSgkuNjrcGy/8Fkjv2fHzUM9t8A63MN53sDOYaY1z5Tj
cqa8zDfws/qcsqcP5wwYScF2CdwgOCaxW7xhCHKaVNyplIYSfqUggDKHe8e1T2pWqjAm6CZdm2Mj
QLkfWVue1IgeDY+TotgzBs16znV+o1rxHmUvzU0TZYoiuQ020+wQjaA4qupB+xhYGRRlz7jGYZNv
waGnt26lFyZYsCE9D1q9S9IRi9zEFvuucT04zPOC+WIwb0mSPNpWUiA0Fcsbma5ir4nWjZfG63JO
4LTuML7bRr5pDdV6SXJRXNwile44n2MAQJrTNArGuWp86wFk7+Fa2EttfgjUBXWozhC/R42gzfdF
7x4DD4Y1X24orfZ4JlNWPjroji4k4a4Bcbks9WT6z4FoXlH+xwql0MxVFmk6AMW8xLTdtCBMlGgE
DbziD4415Csczsd3vLzDZe4a2snnpfZaIrIvp2lxUR10V//3NHUIdfy3a/vV5m5aIIDQqSlpkPlp
OuZsh8AURss+SCgbzrH7gGyZquFvaxBQX+L37kRVuM9moZg/yzOr8s5l0xvVDxeri13q5T+CIECN
HttrTH3gMiyUoMFeqMTom3IeDlao+pxAQe2pd2sPt5hWJda2iAs+LZPWHVXNb3YObCPsW1CzVhsd
Lgp+s7In4z1Qtm0fg6OXsfuAHUD3MdgK3uMd6IkV+lLB+h6LlcA7B+Sue2gW3kIOtKhnLshMTdv7
PMcbksOADOf9XyMHU5Dm4E0cRDwqNvKlgxLt5HbJ8su8CWJ7WXfGBX+AdC8AdU+tqKlk1YDmEqQO
1p7axJdbsGqj+GJFzbCOXTtbutDXNepcZnQJyQbtPUV7lr1/LUlzdCwszHPnpXL97VayP2TKQ1vp
0/52J73AOGtsqLGTf/hWWol7cLVJWdy7yMkovAiDv1tzQLwm+I4BNxAcHsjqEd2Ot8rPnUc9VZxH
ntwqeDan4tUyAaqbL8KZxpWVIBRlpWyalqnG9iEIoNLf+lNs7dXYhm0/z1b6arz24ruwckQpGqp7
gV5ap6ZXkopk3NycXHZZAf95suugOFitvGayTnGm8p2OtddSxPZRjt6mzIOpHJT9MDMcAAEIwt0W
y+Ccs0VtIPaskxiSt9ECZH+/xe3W975l+/U+mpqD/MEy7sw/RbbGvo136YjQerjoGt9Zgi3SV20k
1I3w8+45LLPykrbWJewEyJQqpzxilJM44lDX4WQHXKyx63IpuzZK+s8k3BYGsP9HGUrjXl8FgXKp
UA1dBGDvT0ixBSekoULQo/c+H6545XI+WLUBWafQ6an2yKm3+XL83pcrC318K2GgQunmljJ0u6/s
325xC8BjqQ6pglwWJk4xKF7rzdXLEPSkGz1N4+VW6tXrOFy7nhpsqnpiFzQ0YoFyLxtnpAkXbZrw
dPqjfjvOYrg3lVyXFMWfQYqWxQVSJ4bi6LwsW6XKD1rq5od+nH5f/j9jfhP6CXvmqdlAnPnW201/
Mlq9P9lg6DRIBHvZu1+0efDela0xCtkbl5ho3tfLgSAMhttkOdCGzWvSZRVHbDWBQoGiZjoklOUx
xkBagYuB4cahnbQfnelTcpksyzgVZnmSC+Q0Q7UPtl6J8ZcuVANutN4e9SH5felqRUVEQ8OB8tYE
8AzqUbP2TYwD0eL/PP1+D+TpijUZ+uJQpGiUaL14s7TWOMI3SpZx5AvYqIqydooWndB5dDJJqxug
Ts86ksrL2kvhOmv1cHAgIB2s+SJbrTOmaIrZWpZxvEi43tq6bN8icp2aeAMu4vOM25hcLofu47e7
yalOVV9ub5t6fuiJ6UPrdf25GUxjbwx1uIlQRPqs47+mSA1/VIhigxJqrSPsaeXaKnwiBUeeH57f
f8Bt1Val7YMmFYY4ay66493olB8OrrboypEj1uyp+da4PZCCsvogtyGwoxPosczTck0c7aYMXlwj
+LvOC1BVbKvb/Go7HTscAaq2DXvlpTTT4IA3Vgp9iW4KOXDGiv2UvTHWo0dHmNvccHy0MXARsznr
WmO0M4xUtR80foWDPQ7ICrJ50w814iPGUkZvzczN1z56IcdwaLoLltF4PFjD8FFRMFhOmI0CZw2c
l6xSdggpjR8IQkKYyDp9K6exd5+1HZxXzE++R77zV+xPZGxTapfNID6jnDLzIs7JV6S9g8VIP0KC
GeeLDN4u8xLbypPdoPtnGZIz5Nx/rZW3LschO5QKtW2olAcqyfnzYFvvluLX38dMBEvNsK1LZOPS
MdjCxeoKTUQ5CnTrDa315rm3CuvgFd60xAlVeyCZ2p3zdNbQhkf4EU2YUjvo7x1b/mBvFtrMc7iP
rGHf8HZayS6pZHT21GJ8yIEoPPlO+CzjeBjUG8TrwAEl8TNa1VineJRZgEGYR9D83ioyNP97gVxZ
UGk/fN1pVm2FEiB2d8kDMBsAFvNA5DUbALDde5diCRMnVJgj/gmLiI0kcMXoB3JmePCaRXfSuia9
CsPQF3lPdo4y+Y8OD8GPFO+W+YxtpPxntSAqOTGKp9QKwnVNzvhd4UeFhf2ekmo46J6OzY8OQlhP
eFibkT4dMJpWb63B8ef0J5dOtvxO25vhp5z1r/CXWXNXTklaFDAWcuJ9ibz7ZOQm4ljtPujy+Fh3
fkQmqI9B6/zTlS3ElH2QhX4FEThWzKZYUJLNqYVaD19m+kIu7NipyxsZsdasJpFWMP34TIIr5ks7
Hz4003QxjsywCe3Teiny6Fc8Cbam8yBuZNTe/ZyX5+wAJucaFTDJeVCG+n/mm5bxez5Gsd+8ZgzI
1adGSI0mzJHu4qKAZLoq/V9RmPsXRGJAEKopGs/j6MBWGPXsegsmwU85RekmPArlFMSPmIKfwEMK
ZkPKklFXX1i86o8OZsOI/zmZfRqEqq0iJDmWsivgfXubTrjPlR81h75+F2bQPLSZMlxFqA5Xq3KT
pT8AXrzH+gJTBTFlgIDnKYFSFf6CpQq7khShP4vCo+0ulI404bb1IPH6IPFvwkikFeLN1JNisuLR
o5obapxMZtMhqDgZ6LL5UrVufkl7VN5EoGXrLwP30dS2ydfMkzVX3eS1l5+krjsnqnGv5f677N1F
300jGflmOrf43TDnP+KVMW3GKPYOaW70Z5RFhrVfo9knu6gdDKi2zJrlshlSSVy787Dgdx4p+SN2
LmfeV1tNqCCiNSbj7R5ypE58dP9Q5l2YpfAXfOasV9nSysq+taY/rfvovfV/n9d600SiUtamExFx
cvIbhLEe8SyNn+vey14y+AgA1Qa0frwyf2kDF8l3SPRrOWrqJcfBIPhVahNSjADY0toeD/kYC/Wa
q011Rk+rntYY1uLjoebnto1LUKeVZh3jzOIDMk7+nybuWinlGTmqzvHC0xFiiYtnf/7YB/MXIJum
l9BLjIPspfCxrxmGADs7lt6QzMiVoES9jM1kr3I+jHrr4QZmbQFekSs2HqQKx6BxWlEQowBxVYJB
Hore3iDwdJPHMVqSs7G+rW1L+VAAEmM8+2lpcbylns5ep8jx8SshVoQFOFDPAZlZBLa1HvG7e7Uz
/AbmUnxplZSIHet4y1QJN97F+Hpv+OuWSJLyY43cDTe80cuNFKhqJtDWX0ah5JcbqVgl18JmxBRh
4rBTlNCbh7yq2K9YaACNwy69neOHWEfaTyuuyhDDN+vxBFpYvBrIONY0w8qjOfdtB+ZdgArpXgzq
q8azDWeiUmzLFuGQejLVR4/SHqebNv6J2+EClTz9O/zqZGVYTXJBPwXHwDTCe9Ye+/eoEQe38aOf
AI3/jlVUMDLPfK10fX5Uhf4ldNpNaXJwkL2UEuctPrZ4J6sg79ZfBuwSnwC3iN7uc9lZ5Ef/BmNX
dARjjCh8bkZSPXjzdEtt1MCBlmN/SDsNNsJMgUKGGhe91PjfRpGarvco6xQrEKzvTZNX17Yf1Jeo
VlehMI230FO7o0CVfn5fGG+U3rJ1jVjbTo4WvkAX6uQOk/GKxFa/LovO2JpOUL61AJMXSZVjZtBP
5LIMQD95FH+rAiyRhKNcw1yUb4YdtoeKvPISNIh9hreCB65SNCsoX8PBV9rwvZ4gsbHhKwdDAewy
tGsMjcqPOG/edc64j2lZDA+iCAt2Q8ShGoMeiRFJgN6OKJKpboqmVS8BxKNbK5xjsR+pl2JEFQWD
QPXyX/PkaNCb03/PQ0UXTAtpkHzqM3MxIrq+4mnoY0WAAWqtaOGDbA1uXO6UDA3orwOal1266SzD
k9Oh1BgWzmtXO/1eLtdickP/GE1gyrOuJ8TzIp5nKEwjHuDPvoo3VexOLdpT6wvESGbrRGm2OETN
sZ+FP1sl966NixQ8G4Tyow69q22bxt+eoBQbVhkkOzSBTK/2XtJ8Esgthe0Z2E15mLQB31YzdpeW
iu1woQGUiPB33StKajyMWaksbc3sPoIE583Zb2pE4R9YsvqpadUEYCucrh7yAXHYx0iHm+hyh3UZ
r+Hfs6OQfbPNTSDGP70x689ZZ3k4oEFIQRcBICgKkFfIZcWOCnO+j/lRJPb7iN9SzT5EkV+kKnfe
RTsT0t97iuFTUQc/pfpLNGbu1gzBhEgrFcFnadkkcXKSoyVmmzA/+m9lbQ4P8yK+N+kS7KW9G0Nj
uHIEEBihq0gtzt0pi8Zrgdf4peqMW2iYQzKedVQemwCfLzm3UjE48gKMYeZ7uPM95Fw5yGbhdg/d
zYNmbdSAXqAv/F6aAFp/GKdfaRHAtQuDkK2s30yCc91sPDoMVKmTEb+C2lBPllc262HIkR3oDO14
v4jZyc4ALV3dRmRfDmvh3vO6+Db3Hq76DCv0lExYURfJk4tXCeSgNN7wtyKL5lnOG57VzlHDpPJJ
i8rpqqTJQvbkAkWY3T6dvO4Wa9jBbMOwH5d+5MBJwA1nZ7mTsdDTHOGIJs/FrQ/4CgXYAd09/KAp
0oYcYL2u/dnjt2U0RfnDIIe/LKgxQjKfjxmiLDaNa8WvZuC/5qSyf/qYO1u18N7IPLdrtBusZYBx
02bygKupqe19xFZtLPyh6i9xFnSPWeT8APXmfQDv57EX6MnRUxDKdEu2wGHjfdiJ8Q45K6KahPyy
nNojco+71AfwD4t/uWkjXiPvQCJqsKwXB1m5o4jT2dOBO1RBif2qlmhXw62LhziEJyQHdGOsls7s
U+sDfXrWE+NRbSj5OrkOgIJX2GGkNAqunNb98v8Qi4ICE1Yryhf3yVE+dnAvhrj/53q/pYZHQGGQ
BwJ/F62nUtdWWo6k4dQl3YM2XxrDEg9mlHnQmkGTWkrsWgsZDNkt/S/KzrNHUp5Lw78IiWz4Wjl2
7p7wBU16yBlM+PV74Zp36tnRrrSrkSxsH6jp6gbsc+6wtqqm3t0G2TzgxpM6F2mNJMTnQb/yGk0/
LKd6m8JkekSeOPlAYvOYoDD+rC+9dk7XNV/dq9Mj57RWYyb1m1ek5NZqzDPq+lBg7QPzCYv05YJC
j8dH8OJv6oIa+nhAH3C1UWeXViXOgYZ53u30wMxPdYviijq1nQIDr1ak1Z0wP44LUKuUhsVifIpy
EgdYZqzizA5OaJrJpmnbd1835NYI7BTIKCHp9ET5pV4bIhw3TeEN16aEb3w7Ut2lsSwsT1UITO1/
z9pLV40VTYgraoYdsjrXAYGwl47Ay7rH3QAxgfIQznr4rJp5cgCA1bWxrXzt95gwHV5a9aST8GFM
TRhxNq5r6QwP0GZ/OPkcnk0t9Z71pYkTY9XYXvQkGkdgse2hSOCOBzV3i2q6/jgNcb+6n1SNnoOf
dmtsEki4T6UFfgokfPO5mAUsa/SOtDY0ngxMIdVwWhjazjciE4tM8rnwobVdOFHri+R8jqXXP1YQ
yN4KYXtrCo7ZQU3WhYbwoMWKW81SeNaf6gzp/g5LqrXnWk+ayQ+lYuNKw5A+z4e9ikUT0DpOlgYC
Z/kYJ2mMFQosDZZHLctmK3bOBsJ9O5lp31SP9zXAub8PVb9yTQtlWs9YB5Jd2L0RfmSg7vBnEIUa
+OFmBlthGft7Wg36buUv0lD67xMNrc5O5dT969raEqLilvExN+QlyDPzgWpLe8VYbRXZrvGghm7j
yyRve7kZetFs/p5YZvlyVkBr86s61TckJyzjZq1HO4Fk1lp17xMqzjTSC6VQSoNL7P1TQTiDjY7I
j5sGABDK/o9NbdYL5SJY1XlQkd6DgNcuyXO9zpOVmg17aHd54bzpzvSPESG2M1UldUPoRZQH4sm/
qP7Qt9VlggD9Z0QNq6aJP+l+GbxMCF28Id4/vllo0lEHpOiSWtMb8Lh57cyzd1CTVC7Ezo6LkF0H
JxSa1Z21ZkbVaOkCUqmei2nZktBTjWTB5zVYw8QpbJw8e7Lr3FiPTql9rYSzszpn+BViblGgTvKp
QcwJtYWWfWoN8dPosXBB3bd+03OEYCYp8rWLON1+Tmusc93KdS+TJLMH4ZTlk4GTSxWl4qIm7g32
3N+zuqn2ObU1fwc6aNp3XvtFRYR4ke8xB/ypoyovkV1crnw7VvN9FV2SdE6P9+t1i/a6+iCk7EkW
JOLqoja21gQrRj2M+kenNLtbU8djtsawud39NZF3LhBbbBP33eixVFenjGYlV0jQG/u/okfhZwtF
ozkYJmuvNGqBpkcI9/H6736ytKbe8Ocz1VFbxZ9sKH+38VusbZlPXp3Np1tXfUZXS+QIvPZconO7
iXjdQoXnf68mo77chwIJ//vF1fgQYK2COuL1r/GWd4NhOiws/vxnVDzgKbACNXkU3u6ZfPD08+y6
xWOcDb+bGV7+Y5yGmyp3IK0s48JERSGaRbVl2RNvNN8ul7PFm+6JaZd2XrMdJ9t90xtMt9Khzddq
1owj94rt4xc1icb0+NLkNbpchC5k2TcUeDelpGwfOSO9XP9RelZ1VXODj35b2KFnaxV1tUqRM5do
XsYhW1dHOyNeSC231xGdnKdhr8ZUo0JaBDq5VUDFVMEc4uPRdbgmRjCZ0X9SQ/cGoTd+zAGRZY38
WdeI4jH1kNoTkXzNc1fCvB27VRaa+kmN+V4geSe3PubjhERRL1/TatrUYH+e1AlpZZN2yqgBqMmh
HbYpsM+13eXG18mk6DN234LRd9A8RAjbMVvcUBz3EV5I/y2yYYHNnqlfbRREHgHUUl1YTgiz+RfF
2PrFQPF27enTa8Mr/twYXX9WR+6Q/j6yl6N7N9ZRgc6neq/GF1zlrjOdn37tBCBE7DrasxV9U/Eq
Ql3NcBO7WlEVoPXHxt7PC6OqQAv7NYcCsAKL4f4Eyobns3S+WzhjI5eHCKzvt1j+AhOikEBsZ6bt
SmVDUj9FaATPUBWLNj96qkY6HhFP+x2rrvsn9q/r/hWbWhcqJg952cjLbES/m7Eo/G5Vxzp6TGqq
GeTnMjXb/b/G7uExgsAXFTcCjD7GncWu7z/Xul/a1GSwNyrU9WWK4l06oQdnwrtD0kZD86ptrCsC
1PJTKCGpMJxiQIqqRgVOb1E4nAd8a4Zu6PfSN8UnnpK/0mBxneRt/Y5M1FpFaaPOrTjq1RqJbvFJ
TJQwQS+wcotqnDQjjT+6pqi3aYHSOFZzxXs8Iotsiqbbmkt3HuaW9QTmMiqkjYtqLWFEsbuF3nIe
1SESRzs7pIKvxsIYwZtVG2jINdboH+5jGYwPnZUjPNm6qE8ETfh53FnunH4Og3i6RDacx7bI088N
Islb0oHioGZ9lsC4tBovOZoEz/lyNy8nmX2OQRuIJRMk1tI0tbSPNtQ/NZQEILQKHMGvUCr0bVNn
ISsFHlqwVQdu9nBeRQjqUEuS0YOa8NRsMk/8yWdbNd7NkHY0vdX2uPtqJB+oGAa94ezMrgzAsyyD
xQ7wp71J88A6290oH00sPfwZXSboe5Ibb/YBMOnnIiJrpIZUlOW6/UNrvhpqXg11nXC5t3X/yc/c
lRMAXDL02H8NuSo4eNs41EHvvxa9B/DENqO1zQ+5TSB0HoIGnn09d8m2jGX4Bs3JvQbN8BZ1InxT
Q2ETUK5DvLHJ+rdoAK+aIUf1GMB50rJcO0HFix9zWyKIV6Nft05y0e5ufRUoLT/ZVWVUoBTMeXAQ
40d1TphRmOla+0EmcEkOY7dQmWPn6vKFkLRxRbjCOXdAQ4HT1BnqqLeLbtOaOZosA6bgK8PKEnbo
RnYATEMFO0+zXTSkztVvKTimybto4/HdH3+x/dVe40KO703k4Yke+S/uZAzvZetQgRrEs5pzqOpk
Vi2e1Gk54tqh8IIjr2LqHun0Gc6afo61NHi25iF4bqy19CSE0qUToH92SZvmVRPvblTxPQfhCEVC
WudBeijKRy3M7ImfBVzM+KC1rPBvkNgFA6uO/MDlC+7cR3/sHfs2aw1RyB/At1vAfTz2km1nAv5l
8zEff1clpjAnYwwHVuyHmU2spaG48hdd/n+aiKtiftCNYeMPHnKEmFm1t0PVDweBlTTuAliNTdz5
eummwAkhHfd7qB74e0mJFLTQrCuSvc5DqGuQShbDvWHML0NWlh+4qqeHBGEccDHehGp9T3UGYHXH
+2NjWBpI/9hAD8j1r6oHw6y8eHPxcZsbm+5FVBM+co4rtmoMGt17a/hPf8Emqvyl0Or6quATak6h
Jm5HOV7Uen294Sv0vEGDCtzBXUdRSTCOXfYztQuMP5fXsJpU430XvAzwFviVpigZLJjDEFbIoTWg
AmI0N2An2/4EULkzAW+9B4MsXvIs/VevpGct8CI1t0T2WfItG1ClKYHqYJRSNCs3gH70dz80i7JZ
+X2xhqWWntR0JwoBNshM9vmQwCRLx7x99pcMj17J6Xj7UxB+vsHicnwJ87x6gSV4zRf9y8iXzjEs
8nIzGa39qRZIt7TQcwEjoXvZuNa5akW4xwhpgA2dtyAmovLNxglgh2+GdcZpa7oYngGrmJ3He541
yaprq+AX0s1WNTWf5rKjSgPC7kUJTaQfszvmN1UKEmbeofEssVJTKmgcec6STZoPjhsCMOid6NDI
UT6xsFtPgS5eCj/0kB3xw60+4bcWiNa7jeEBJ5uquHVAHZNMrt1uo+JV00CTCqwh3c+QRE8aD8ui
zZFnzcmoZkGkPUJD7t7SanGgsx39WEQ43IbB6OwDl2q544zNCyK3cotID/o8cd7jWe/EF7MfLF5a
uTy2+dRe5qzL9x08jsOU60VAelbTD+70XHAPegDVItSgs65GoDlwtqXZwG/oEJNYDb0fnx23Pjm5
6T6oONXkKgSN91XnNM5edXu3jXaF5RmruZf22QrZVqsj1eiWzVhTwyy7zd9HSSZjTsiW9VDHjbXX
ulKH4ZxTiwxEBXtbjPUhKg3tkbWd9og2vna1KFo1nhseY5lFJ6caPhqkhU8gV8WjakKzb686rOf7
kJ6G3iMWHGT0gvnTwvMs7dRZ5MC+pSYvpVXnQ69CzjkkQZ9dhK9HP/zS/ZnYbv4lLg0H6b/IeG/0
KsB2yWgXe8V26/P1PvJnl+xtLXkGotFfsQCiwJ+V9dfUXd7DZRau6hqh0gGlJCsk0ZY7dvQhm8ne
NFXvPxiYURzsYAG1gjl4QMI22pqW3r1rfluv8snyfzSRQ3bKTkMeCDWOY95VGtN+qCT0w6TxWdba
3kfklw+I+5XP2UgKzPT2QP79j6zS/MeqTD9uMRHgpNDO27Xq5tDT0Q4vsp3qiiF01zlsk5PqhrPx
o647n0c8l/dA42Vp4L35KBK8mGN9dLvG+3DM0b24WgqTe4kyZktb10Fa7jBF9s1NPiUAhVB81pI+
f0D3sniA75nfmp76HJVsD6/P/4y7Y53t5BgAjjHJ69tJB4w08uKjCRH20GB796zjjAPwVto/engw
vax+octTYjAABXc2fWPnobZ5GljRPQBF60FXYI48Vxieelr5S3rxI7nA9rOPk+Qm7kvnWldaigWf
hV0MZu5vbo+Vhop1IviTWRf9KBzq9tzKFcVeuKJAeSlKLCLvhaRgkvB2JZcnp+/RQnyuh/IX0tD8
rqw+f581DJmDpHf26NZtHbsvzmJpAJP4lOqBPJ9rK/s9qI7sHHP2lTrkLX8thTfvVe8ed7+M65Fn
Ckv+ftWsup6RmFz63r+ffLu0+vyYxBvbydb41//hduL94kYdHvsAK1GWPN8nyinP0Eyjp66Vyaqd
9eoLuyB9A9UBStpUGZ+dHC4DutEUmhs2mlG2HdrRf8GACnBV+N0EXPJchjEOdF377ys0cElOpiv0
z8a0VReuJ0m1scl4oyfJYxobkKhtab6bLkkY1VUVYdWNQAQe60VI6969z6rgaOrdJzPuz///8/PK
HXBRSF80iPlngb/NOSvHNN2pfoybGvaJPLQQG1oO1WgYgsJodb3a8mhgR+7EJ3cJUXEqIphNnt+L
gedcu9WVTap9mNEDcdI6eGA7GzzMVeagX0hBTSf7fVFjalY1UYCV0hTZztZdgu8T41QgkhIhGi7j
9KUzTfScqhn0eN6nL5XvpC/IwRhrtpLlXo2pRpZUgVxqKm3RXeverU5d5w37oPTlc4NWyVq6gfkV
nbsT4PbuH1wv4J419Te7hR7g+k3w3HZWse8GjW2/jOtryutgO5JIeM8Qtl8Z+TD98jwIMZxtJ9p3
PNxcHtqajSqc3z6EFjjAiscPjsWd9US2g/+itO0vTmxeLRl3/7guzs9lWH2PbQ9ZYH/TJSCTcifW
2eNxi215S384YOdPqEQHaInWSfGIQpuf0MQ1RoU+2JtDkxjlmVV9C7fNg/NaoKCVegNy+pFnPQLa
z7ZT4XovLntOvrO0+fArd1qVsoy/Vn35hQd0+jMpuoMfaOeJ0vMJyFBwkWaPzJfefAny1D+jKBFc
ahAGgchRIXQHLDNF231B3uGXlWf2k65HIMfqLFnFwu2+CM2TMOM8si4s1j9p+mcV3jQIYvfNuLfD
yNqqIRyqX3K4aS/+NPUPaRrq1Eq5skTSnGpopx15/G6jRuf/1aAn2uEDtIOknr66vljwNGH6LQXm
hecE77lR6rAx6vBnFiPO1JLqf6cwFSACnk4PE8DCYwxG8jgElcRjS3O2ZCfcJ6yJ3ad+MXFFsAw8
KUOqgZM9rRDyw01siciDYD6WimBgiebb/6Qgfh+rU2nwCkLlutSoTDnRfCpd4P2thynuX0cheOC/
x4ZwL3jjjLP/BRTtOcaV+JcAgcWrNf8qQqTMstQtn+A0GQd8EdxD4frRU5yZLn/ZY3nAmXle52Sl
L9GcxhetS8p2de8v/EhWhH68CzKBTPufwLQ0CfQyHK8oNMs9NDT9pA3wFv0qNt78LnceWRxcgtjW
0TZtP0eS3Dh4VANz6OZrnZoIhSyRvGQM7Lw0gY1kbRzjqfnZLk80ren8qxTlT/V8s/PEv6bMadhU
AZZpEfKPrG5HFiHbAWfJPvxgTrdxE0x71ZVoE25MUeVH/LlStm7oTWpebqCikFEqVoeA3NiomWZ1
QMjlOSh8HZDSJFC9F++2gWPXLOzXMNWdV/hFOT9Y0J/VWIe55j6Xfb5Rs/rse0/LCUXaiVVt9Jgu
5Y1BLakt15If94fvv4VugZ4CHKpV0abBS1KjRgQFroB2QijUSVCW8Jn/hGZmAbWktf0XWy+t/bCE
xkPInWvEJy9okrNqwPr/PlLdTIuTcx7MoBbvMYa+HWPbOLF1YlyFGIH++7RbsBq8n6Guyl+/siSt
13GpBaDRIvjOevSutbp1VU0xhhiXO24R7kyp2+BFA+vKWb+nVYwa8xLqH9RJ6/39ZNvP6uvQf06G
xQRgxnjaqvzh6HTCXndLF39lfjNkVTdq1syMbI85YbdVs51hsLqA1LFbdAs+QMfm+PGKbn/r1lOz
0TCaQjQWFkBiYcKCDJyz88re2Hc6CuiN/S0TS7GOdc2RTQ92CMuwY9sPVpC5GP5o40VY6bjWh9z/
oucGSAEMNgbNlOdB65PLiDr3wWqsB9WLEq9vV0VnJxfVr5YjbN9j1HbxBy3xa6D2qeko0kQn1ZNB
wspSHQblgCmK2eViN+F7vMptUgYbNaUaDaTjtcXNdqNNKIuHyAJh+L0MqulZ9PHtaBK9t/KLvmM3
wwcmRaXzgEVYOG96PJdBf09n1UisdqvdjOjQuRQl6C/fOCCuQIwaUzF6G9e7JKkDyDokL3kY8ye5
yFe4We5uZW44+2hRuXB7/aOH3v2UYTr/KiIT7VOGEa6rjgYCrRt1UuW55XoQlKDV7Oi/zhD6PgpH
9hchqpWeOpRIpGu+j6M3Q1dBeePeVbOKzqpmK99g1gm/S8+RvNy6bg2lOdhkLgtH29GGa/HnSHV1
s+x4DnXB5j5h6AKUpe3OMLArAF3Tyz0toVIV2CCbaCzi0r2QPFS6QjVqMkPoVk2qnhFTrrvxDRtU
NwqzyM4dvMA3fWr7rWF4KHCA+nvD0yM4uoshmppFXC18iszqpCZVA3R+IwwxPlcJmj1pHPOHYQTp
uaJogiSx91yHqEfZfm5Bremdj8ScloSw9RwHcfDuzEc1ijonWrwUIGMzcj6sRdpGs50QTSZOiYpM
38PAbbbz0vVyiUhti+uxmsWn9jtGtOM5mazmopq0xAZiU0KFvBjh4unUZPt66blzpu2NDketMhie
OnsSj4qquPR6A+K4YirKFpfg0d3oBUK4wh20DaJfKN5jx3SRkMf5WxpqnLWaFyU7EwTmdaS8uxmK
MB3BNS+pLRziMSteFPr6vD1R52rfPX9ZOYBx3ujjm40bO9JipPTqOv8cS6CwyFs5+EOddQFyECNW
UoWzI9fCnPINRFsHfnx1JJ/t/2JVeTsIh/KvA7wBeZt/DZ1hcQashgKzQfIyqashmrN00QYWpwKq
wNEshw9cXvO95/fhs2rAfRRb6BL2BswOjsnuEDr72AWkG/yJaazeP3V6/tkh9/6clW74HKDr8tDE
2lpd5B46Yg2GJnz2eA81K+MtEUF9vn9orRv2Sp/y9KDGVGwwLKt5ikZbdTUtm0uYxTLciZhsVFbb
DZjwTkKonyN04j1xLigA7GZX4FvHs2Q9Noujzmx+k97k/tKDb37ZADjuAYlqYV1+a+sZ6z2W/W+O
jl5TXfQwA1E5OrYTvNTWWyRa/RqXWOH4r5BmxKrMkY3zRXTVE6GTfKjfRN4n/+h29zX0qZ2MaI9s
FDTc0KDLI+hJJW9Biuc5EELPltOGBJb52E/TOks0XFnGqohPwk9YSIUaZmM8uUCgs37GRjBZT2W8
j5JqfLCXzHArWvb32H2oXrKkj3s59sd64QDK0kMvZRmbjKjZ+l8NfjxIpJa1GZEE+EqShJdUbvxg
58MrP6yDpxxAxkk68bDz+9b4QKnkKZNW8Rgid7GeDB5mvAeKi5GI9F16UOiKrhLHcdAzYFXOuIkm
y+Yvo6A7YtVjZl6wVbOuB9CgQR4MWH4cbDGNn3doEAQnvcBMoyor/aVZmiqJSxiM7HtQfg43YpES
gvnBU8DV1ybllxdrzpGfSJDAwVuWpfnSVRMh+p5mGQRXV076y2jO7qnKsFNSEbW1TqA7vRS8sdez
lO1BDaPeTgXH/Eedoq6Sc/vvBqjVtysby+Ujx3sKTJlfVUTp9eO5F+6P+0lhCZ/HEoj9RQKecxjn
+Qk4u1yTGIy46bPguTSyHzVS9l+HEYW7oEq1S9e6Ef/P8jtIn/Fr7OG8ZacSHEEiMrTnxm8qPsUT
h7Xl5G4nxMrjTIjzuIiiU7eVi4r5n0NZee0JWZ5VMrbImKvIe7hlGPN+rMTbZAIcSASWRtjShBtA
V90ms4cOfSTlbNQ2OC5qkrwLcaZmgTLo6y8ZwNNDmOViQleRP0YcflGxRC91YoUSWlfqjubVd0oo
Jr0eUKmrf+apAB7g8xWs0L07yOFbidfFL96bKygQdrjyQxKcXpZ+B5QwrmYkhd+pGPkbq+3CxyCq
MfYJ+vjkDI64lGRHd+MU72rexSd7UdMY+2y6qCMvGsXJc1AZ+O/jY1eWLJNR+V55o21uKwfo6YRA
0to1TbHpnWG4tkvjc4NMcNQ4NCMEIRMTJ0u/TLa2F5vvJJicne80GGYuSQy7RCeUfPV4m5Wl7VEY
SoZb1xijYKelXYM6doYCcs2OfPKGFygiH2Pqh19nH99x3WWnYYo8/8BNaWdrffg1xNyZJDPF9FoW
B7mEGifZWe4Xdt3AKNl07tQFlrKsMEvxbraThyN61m/UBUBffx4M6I3UF18DP3dwGPXsWyMH9ygc
vTrdh9SRFY3OterK/OA23df75F+nz4mcV4PBQuqvCXU+yHHrEkiS+//5OBVF9UHbDyWLZnKqxlGf
cBCjmoAg6+QWz0md4cGi1V95fhfPqpmrPLno7vR0H8pZKl8nKz1SCgUBhvyDA1MbiYnlEios4nf8
lJS3c25Rtb1tHf+kd5P2KUojd60v6imeHhqvU2o9+TgufsW+xMauDMmutJ7Cj1rGaGAxnkEy3PqT
jvGONg+fc+dXgKwLmPn1aJfeF7QFuy24hPrY2LHxue+fYs/0vlQOHoYhvIAd2gPiS9F2O8dASgyx
jfgsYtLHGcJAi+BC8jau7UXKUjWzNWa8iXvvrLooJupbDZcau8pQXOU3qL7IhEXazKuWPiDq7Qz4
8PyvMRUYtjjyDTKU62yOyosbNxS5lsbJ/bBbqb6aUYPQxJHTQtkWlg0xakI1gWdvrRAroXusOrpf
D0rSUZo5fpnLmWr89hEqzvS74Szbh9sQuXe2s7ZmoVFu8iMZk/7vD1NXAOcX4ZUT15hL8EtTV1Fx
pZT5JhqyYWuMCQyo2v1mOZ31PpVOrnqqFqZ6cN+/8fSw3qksFcfKrdcUVOJzbATRuYdfdVZd1Yg2
UclmpotSyM2CCjjrg/lJejXuhhW0tSYYi13k5/AfFt6aPjnmGauYTwrYdsO4/QvupttZv+vLRXlP
wd/uEDcZQlkZm/mQlPN44eGCUdakV+OldmN9RY0Z+8llRo25whsvqltMftbjAUg/z2Znh3XPP2pC
Nepa9+4cB81pwGj7vZyyjwIY/o9aCuR5o/FXYur7NJ7wZ+rlsI4n/q3CDotagQqnluwnMIY4Z6Io
zp1BKUUkwW62cvvZKjXKJWyun9O5Sp5jXvqT7TzdR4oq31dGY1+BDHTh2hPGp5LnkzJdWRu5T0rb
gzqIsqf5aGlec2g0Tz9GSRc+kEXPt3Fclu86NYhVVWB6l9r4NmjBJo6g3nGvJtjLYGQUd1r/EY4a
z7iMPOU4tPLDLeC3yKAVGzWbhom7DfBS36nuEM7Bmg2ttzIip+AN7+HiMM/ZWdczLGGWo/91TE04
yxnqCDeOdcmu5/i/nqrCSqNONiHf/SEp9GwDxcrYK3RD3ibZCZ0JdJkWxIPjdOVrLqiAuOkpMdDw
NrRz59vcgWPsngA9xz/ctKHUhDLeZ8cwkrU52wAQJzQwp3GEkgBWZ2XqzUvIr2dNfXRAonnxKQtq
Mm0Jpo8H2YG6HpfGaP2Y0liTIXmmd5hesq3NydFcbM+fnlmWzywTiy0WLfbDUMt6H2uauQ6D2aHb
XkiGzK+DLqZXr0dyRR+Fe1bdAPXOvRsG2Bgss4EW7FG17tFasJKHpDKASnQ+ArY09SCS40TRcmV5
HT+OndT1NsvRuvOi2H9WgeaiYZtbjTioU9REnJanqvXtq+rhjEC5AREG1UNnPr8aTgVyLmtOc9Jl
Z5STGyqP4XAdRm8Cb1HFuIH28ZYNnPeSIY6CBGodvKdjiDiblZZfvKH7pZEb+S4b/Uoqd/qHMg34
Ts+Jyf1s7SREt1XMcEIyP/k1asPrVIFIc9IMYbOo0T6Ny29nHqdhbZq2duyxNL7AiH1wJPoCqpkH
MA+5Lze6qLPbkNei/++DHfjPgApsSwvf2c5DkoFx8nApWA/jklhI2qsANZ749jdExFgwmB0SgjDi
FjDSWgxi/hpC8tk2Vrl81137aRgHCF6Mu3GLa2jcVEe0jeNPVl5twSrKa9/r/Zm0++JRE/7jIQqE
JVr1zbaMZu0g8sfNL/x9MJT6sTN7/mP52G6GMC4/s3N/qYoh/EeO3saEoHEsy2naywLSnEcZ7yy7
mXqBYxfrxq1Sli50zcJG56edo6PqpuxcMfPTw4NOFvY9t6ip4Xga71VXjka5Ldh9vJi+G21cjJf2
Y5bbLyNfAwCJterMy8jsJ/Oumn8GXspjcwwwd10QyFTTPNJVZKrawK+oRZHVXfHTznKlgpIlEmwb
OE4XAUM1Zvt+2mxMzxvQJW3xE3aRU4mDgq9vuZXUHVOA2127sdvsb/dTCTZhRa65OP6+v4T4nKd8
B+oUdR96qXnsYpgLPMC4S3FnwQ9VZE/qeuZcVU+i+X6/HWvb0TeuzFigFdajNvmYOxXyaBtwOFPN
Mx/VeDO58T7UYcd3S9htbDmq+mZeW1ngb/86g80XqtXYUQVbH3r1Reh4F3shbKs/DZZSq9kN40dV
B1DjbsruU6C3dGRTV2q8rMpgA4wy2KhpVUMAE4IHumZgCahigIeEj4K7bNDAIw/FoK1NB0vSBZWC
zSRa0PRAWVjvRVj8q/dnznVnluDf+zzHrCQaQ1gKcPm2lgbXPfVF9ZgEUjvheOCtZTZMn11PNOw/
eX8vugmfkOCL8an+rKKaJWr871GDUbif9HqvTjZtdrzmzymItUvfyuBSYFW4AR5qrlVXTfiUosCa
ZE5wwV+dmHpodjbuNThETmxjVGSsDm/zduwf7AH7huWK6rw6zvADqDJ7C+MRI9wm6XeZnWRfux4/
e5zGP1BG4SEChXSrxrOohCtoJ29uawTn3oz9dR6M2ddQVD/LIJMowfnJQ1+kZAXUeDOyc8vAj4yG
JZ+Sos5WmZldYPEOJ4yTR8j0NHMpEXVHASp2iun3kF2j6w8icasiEJrZlYtSTl7h5Fm07gRKA/X5
JPaLB2Bq7atWteE+DdDbVN1R2PErqAssIwh1tClhQQ0iRk12gv1gEDvPqhfHWvuqyyxDuhLNYDWW
46LAMhOMZaY+K7dZePfIEOc9RG3PxD0yNBNwQ141rWbUIMq14+dfSr/rLr0skWwZiw/FjJ4KyD+x
SB8URRor7vxpStpgmwnfWfe6hnCAinN6fOSWONVTwfc4Naa4121UOQ+IKWKKRqFMpK8J6gBvgcTY
rAN/eW7BBbwhVtLsCir9W9UdvVpfOAG/VO92QsdOQ6av3lAUt7NDWf8+u831hiWLXSL8yrW9ApP2
5WzD66GW87lZUWSvkyadzRgN8HNqPzukVswuwIagFDhaEYBIWY/ALZ7UkD9jZcqvCzpsFeh71c34
Pz+1Pr48pZjlzq6m9jx3oj07vYaovOojJjzBxFxGVR9TF/BW7H+39zFYRvYmscwXI61LTE5p6jbp
j01Wv3ipk+j7P101qcJMCQit9MJhky46JU7lB+dxETBxwlFu6hC7578mVPevsabGA1pja7yBdeVs
sa6NnjSZ/j5SY1pSRk/qiCogVUEI4v/nOArYfv0Ul6bY+VEAY9FrG31dJb7YOQtjUTVqzEuyCTaq
aT/qUTk8T7qODDvPMn/0pOqpvYnq+aEJjpmn3p9Ir/W9h8jHTcaszPJ1GIxmJ2zL3Yi8Ll+zFsQo
BQ81py8ByKkOG0dz7J0KwOitedRJbLuwoh/zIX6x8BvYU+1wX6mwlSsZ5O7PWQDSr838u9+U87oq
wHrGaS+OKjZyKvEK3h3dO5GJn33mr7wlNnSpnKpYakrp2qjLZGXHov2kR/VONIP1Ws1B+BIM9iWT
ZfeJOpeJepk2gzrOn1xTG45p3/8XZ+e15LaSrelX6ejrQQxMwp2YMxf0vqxKqrpByG147/H08yEp
iVJ1n94Rc6EMpAFIFUlg5Vq/QVbJxLo08JK17MlGgd77UO9M04wfbqMpdrStUU/40nKabFJzvGvC
JjndliYUVBcImijXq4fz2lzFdXAKABncTm3S2FtWGLhubmN26IkFzqkQY2pxZxuCSqk3F0lNeejO
FVLZ2H3W7Qo1uNOoxdUbMoVDg6Jg243iMI6xt8kLx3s0wlwsMqRwv5JyviIR7dJ7wzLBeEnLMVin
QC53WS92aulUpw5vsWYxGO0spjZnDczx52Ajp+JGhGtttgL1PDPatR3+sJqKY3pVTVtiH1SS4OUv
oywyz1PoiwuVF6yR5gmMo0+JmRcvU4w3pkaQj5dz42xw7BvfrH6ZWkbwuYRPszEguu1wIUNmLY25
TaXhZ0tDGSkDCHfoJoXctR8/lWYDf6k2m5WatGP1kkApRZ6VQujQWcq6qiqxmXTI/hVZkTd9yjYJ
JJYXwy6nvRyPpgyTjHJ66Rtr1ooGFheY4wFImwZyTIvfNJXKr1ulKMPgiuTlzbCM5oef6xnQKwZr
4EY3KpfeUPCBmk+YEtRTqNOyBaz5mfWB8lWO1w24PQuJoWMa5tlzaBnnsnCdI2p2WM8N9Rv1MOtz
//OAXP515NfB//8a3lYBWn/C36gIqfkPLS4S/PJL1DIakf7Wu83NK+WcvA/8p/MqVlbCppBmAenA
26Va9XbhfrDMEHKbIvIveZED4JzSAErjaTQN769qrJ4m3sOb56ckYf2qOWvsgZfV0G/Yg4ynJpqQ
VIzzNroLjZWR9+Nd2iU/GtzWQNniHXldJScSF/u9pn5xAEq5hGewYEq7OLaUlY6tV0DlxFK5PJp6
ayBqO0/Jebx5U2gz89RY6d2uDuPddfnt9NtqeTU5oaSTeQgBv6OCOgsodMAvCadkNw9bOFjzRDxq
zt7wnWfQpyno2J/jiiE0snkK3C5W3cZlF0CCjVbJRXZujYnWjRpSY7wNyaPc87/1ReMBeuFat8bl
88bCD7ZoaCoPt3H5akaCICKMSPP6Dq4Xmt9eh43qplbzYinHpqp0CYcjP99hjptc/3+31ZrSnzwV
PWHBQ/ccxp5yQKGCbY0RuE/dqEA7qvPpu+GL6XueOTUG85rzhFa0unEj1dgko5WQOnbwwWRbeNPi
kUcwJoaz1ONRc3QQW+3HCjmpNOa0CXO0IFop0UO8cr1IZiPKi0ErKj+/zvVG9+e5UuTndvn5ys5t
Vp7VRu7Wn23IxxSGmGME+U6o6rQo6sSiXEiODJ1uDOSUUr9X5yWyaSzxMSC5d7gNxcUwrVoUTtZy
TJ4wRn1IhQ0pezMmeTTbWmxybeiai6qo5opNEC6fhu+RjAbfsJCHY6M32z5EcpxaEFYmZafuBj9E
o8nsikcnBx7Zq6JYJqHwtnKJnEBGAIgoGt9yKOgG5JTH9nvf9t2S+gwKUAZ4kRZSAflF7963Gu++
n4ALiskc92ifCAzXffZADQJ7eBXO/cbNjU0LYmkpl+ezH3uE3cDBT50vt8uk1J8vTQIFnVLE3jNm
h000PBW4rsrMfvrxknnvDqfIy/dF5OinFNEXQGsxzyh5KAdjpOOoGtliEc/TcgIln75Y3dbYEPiw
P3VqxGnRI1HI7N4ueDvtNhba/nHUq3R/u4Y8uq2VXY+8zjGdEdDzS99Ovy27jVlkmbZlbH+7rXUC
qENJTJRopWV3VpGg3+cVVZ65F+qgdFfyEFk/55jxOHw/Ifujtyv5a55SGIzDdcn1sHbLTY8T7/V6
Wqp2Z7MVSGLK00yjhzycrESKNyPosO4sh2Uj18qxdGgivKPxHHs3cet6AZROr8m19e0qv71YoNoY
W8URBgbzO7itMRtYAgtqXuFaae1dNIRoerpF8Sg0rXhM7Txauugm7CJ7jBP2SiXve1Lv5RJnhq4Y
jkeyN/Hy6xmglVM2c0q4w5YxepQN0u+m6+gPslMDczikSvDXABD+Ot9Qh1oXTg/0J79XDZu68C9l
upscXWdTFyVkRPfuKlcnD2/Nb4O/LR3mK7273L+9xlU3T76GPPTL5OfLSSE8w8peKY3yWx3V++uk
XBeTbqMoPr+t63Vl//aKvppEu8orHkRIQUeN4FtAIWpfJgKZeo523o1jMLFJZl2sd+NhZr4fD2LR
bZMmt/mDNyCAkMfbFpXyya8jer+aAEnRdtF3eQDSilsmk5OYXUDBxfb5LOJayNPnCXmh6wlyIVLs
Sywbm+0giudJe3BsmPQu0pvPEcwL1PCV8KDMXbfTp20ygBQJWz98FpMOEzOpj3LSmNrvlRp2J0xa
LlkGu0oO63DWVlR2sSWYz7HIgsOmo/4nZ7tpVJ+mYFmAfK+X0A9rFLNACcnJkriMbaYPI2B+da2d
VHhd/QsslrFZdb6WnOsKvc5KD5qViCu6jpec7VKPN/wfpnWlg7PqOksgyKHX0dIorR4kfJ3tr/1E
QcEAcS5ozSgim1Rr7kfxeJ0TUWwdC5G/xDrKzbrN3sFEG6sKtZlVHbvPVR4Ul2ZqX669MdYeHS9e
qnbvPocTkvVeW+a48SBOkoKyW2ZBEGIUgXZJ343GoR7hv+K5geohcF3UgnvrAX1T8wn1GHMJDDXc
yXPlYr9NSQ/JxQNKJXKxvNRtMdm4c4sZ0cVtET0TTgTJwh/FnYmG5TJiS/BVW9aVEn5jF1Ah3Ka5
d3ojmoOOSsvGxRt8Y3u+tmpDxT4qde4g3sURoJKAn2PPLFLLwXXaCzygBUMNZN3G8qCFFb0ORDbn
0fz8TjZyopg5fZ5Juj0Ys73wHYwaY+iJw6htE3VEkyjyG2cfJ+nXtHV6uExi/DRM6rCNLQMoRgGC
wSg9vdxWVqOdNVutF7jkapvGRlFpVeWlhduXys9gxqNSCqrQ3nSDKx51Ir+4FXymSzk7wvN6KMQw
E62tU84GaNGyP1n12AIcYbAWTyHAMkTNxzdqhAtK6Qr6aV0XbkZFyVdeUQVPnfQGb6JV6UzdvRzC
d16sigbD1M7pvbvUR09XH6v0a6G1q3iIrFdT9xuKsC6Amaz8JH2VnTqoLo3mrmVPwd6s6z7YDV7P
/ixuOMyxFipUybiQh2lWokWljN9q/DoQxmXLVKvjKqnxQolbV1Ar0tK96UE/jsoUBhdIng+9HiZw
lCr328h/1TeI8zPqCZo5NtSTu3GpOXH9kAVhvsVsxQPJP0ELzPJokzRKvC3U4ZXNMYJPc2MCm8e3
Zj5EpDY6llHbzn3PAxkUXic0uToxETtIC2qA0RzyDm6ub4idquVo4EB4HRyLXecL8tDou7sLdYrc
Za+r7IdMDCuGKVPQ90M+Me7vg3aIn1IX8URu2WROY80/6tGQPkduS7oMwbd1I5UWo0g99X71XU7m
vvvSREFxgjTxBndovMpPUTH27sfxRQpPabMglQACt+8TvlWyKydKPdJXHgCcWa4BzSrZ5OMGNSAF
hQnyKQugL+PFhl8Ox9xol3Ddx5lLP6Lpl5f6Ik7itzFvrZ3aWom1ygY1OU0W3Kd5iVD1b6gsNjvZ
sy0SorDu/uVKcla+jqIGbzbI9B9X08MqOfWmcb2aXNZlHWIPRZZsi75LNn0RReineO1Ti7/Vfe4q
S9kb2hJNhsaDg46/+l6f9O6p9W3zECtNtUi7aVY29+3DULb+nVwc6YDgCsPHbdeNMJztjefSU/GR
r1FUPiLMh2OHlOWau6ZnP19zXnL23eK5i2pvsiunqViAUp+TGnMq47d8BhKVK41c8QEuTHWS2Q8f
t0p8c8eZO2hROOzS5jFBS5abZ1KvrcRwP6NcN/N6sfTMwVlQ+1S1MX10GzhJMXaur22ImannvDWm
Zbz4rhqsS88b0azQxUG4prtRsYqCv+YZiwrj06/UkRZSkc7tlLfcBBlpyVuBofY9/HrPPSXQVxeS
fiS7MPBRT5nR+bLr/eqKWL27npvHgMaHKO6WtRKKbZvaWINhQ7cYgsK9l+Zgaq8AqA10SIdIu+pL
ZAmjO3SlgvvRLb/D26A+ESkRuRlw77KbhiW3+jjaKlkr0N4MWxzaKecvnUhVr94AwEN+dA1Eo58R
/D6SYnUhnlza2W28nxt55GcC3DmGaabzIdBVv92HJg/mQjcTZIas9iDxq2qP0p3s6ogofZDdEPGG
g/pnN3PRGLAg0iykpUipNPHSL4t8r+A6R9oQ1ajChIIvZ41ZubfeeZpQ+T62KvcMp1tKPPINt8yG
R8NZ3H8GYYPIazsF4MIoZfVp8NSqlX10KBc9yPQqGF+e4CqaXvOQHHc85zokFyQz+3heJU+8fmcN
CGioL6hvozHaS8vJo0tQFRg0TQ1qMkJUX6xyayDNt65UF4bTEmBwsgosMAuOpS2lP4w0gJFHcIxh
H0+IGrybAIv/l4razv42Dp7UX3VRghOTjbQRWw8KFr5A5ZIjP6h3Az4H59t47hbJMrBTdPLmFddm
qFHW8FoqQ/HsGhWI3DvNlytqUa+9OvrSYDtE3Vu5yA/OBGN86/mTFd8HeABJVLKc+9X787zJreK9
x518kbl9sqzBK694buNtfeOe3yjqjTk+EJmZ26ES86bTV92epGZzkLq1Q4XrVtdlsGuE+hiTa1qz
OyqwOXOwa0R1ZZuDaL2Ts7piIQA0iR4Q4jw7YrSKBkPG9nI+WbMQpShUZX1dbNRECXVVbaUlYjs7
KDoVsknDOP5Vzz05fmtuY3paPWVA0HZy8jbu1dW4MG1tpOocrDN/NB6pe1gfWtxok3Sqn2TPAa7v
5cSpsmdMZCsa49pBEdpqKV+P3TR8QOJPrsjNZrwLFXEwUUOFxYiooBVroMfnptG9H0f/biwcEFgS
VQWp/e8XyyWdqX/S2eJtryeYtnWI8DIWQtHgKhG5ICdd7YEiY6KQB+mjY6fYobZj8s0AlWWmVKIo
w1BPRSlf60nkOhqaPqGNt3weiwY/Dzd8xVf0lNV6+d0Q+sXqsuFTjJnAyrU776ynpnKIjYSUYiio
/Iff0iRT2Vs0+otVI9rW+G3+7CIdtcJ/XnkIEsgnBDEWZWR72JhBaOEtZDrb1KOO2fMh70MlzQ9x
4fpHdNS1HSGvdeo0D6/QVixSrVUf+Jqe+tAtLjJWS/O82SHlgqVJfLSy8qWOrOzjNJb+WiEkIkVl
x0c9SPsNXlXRMyKI1aJK++l78BYgtfE95aG6mIpQ3cIcTpd9V053QENeBSqgH/NKzw4ZCdcljufK
yzghgpnw2hs5G9TZKyj+zezQ9YyDBOjhTvefi6DG7yOpo6cqHrsVT8jssTJbQrg+rx5aB8masokg
DZQeBV+11O78oYbZpnn2pYs9Y6MFSngBFZBv9VEvEZzKra2bJ9OpAxi0LLE0cDOv+GQH+TokmfPc
VJpx8UWZQ4dhvEgad43ZG+h7NqREsNVdBF3pSJ7wVStqzA5grWZrAFUoZKIU/CibIs8/epbin9yY
hICBJuHdjJuyTAcqC1y7dZtTU97Wmanvelt7qKchO0ekR86pjWXDInIzbfnPf/zv//t/vg7/5X/P
7/MEemH2j4wSUI62av3f/xSa889/FNfx/bf//qflmqpNwcZyNNsyDcPUVOa/fn5Ewo3l2v8Ctz66
ObuulWk7JaLxCSbjrW2srGIcL2oSEpg1hjOyJ9X3XdX6x4K44iJnh9BRli3eNWQm9Hih8L89jHPe
An92WLL8rVAXeJAjSo5XEDYKf8kpOcR+pWF72cXr2znvruMDjD42/vgp0IenQCf/aQF7vGC1B0V/
bq5HdXOdvI3LZdyH8DO2c+sgn9wFYqfrWLExQNZin/0R7nvaDKsWSjprTJnVloe9fTbmsb40W5C2
TZTsxyR4bOPQQVTsz1lKTD/OKyRg+7ZonM/TMhI48ynX8RJIaWlPE2ZyTdnEm2vtlxvaj4KvNsVb
4U3wl+WQQ+FnAMO+UBu9eu7cAbYBNokrBT7mc6qgcqeF1Tc5KRv2wImTPFdKUT1TkvAXnop0kpzq
68xddS2+3NduGhl739z0wsZzNc24O429MV7aUDfXqVbgqR4140U2cmKEjXRpbfNbiqb3To7zYKmQ
E0whBiI1tAuqWN+YfuS/4pqCGuwcVzZlAnqnN05Km4JuV5H76MNpPXNkcR3zklWCrObJUHXE0Gfv
98kljB3jJtkmhbopKSSfBz2FgDmM381ZzHPqpmkHyslkKyse/UBUX7OfB06lX0fmgwSl6q+/Rv5Y
o0XVVz2OrQ1qvvFpTLwY9Lo11AvZF2WDUjm+oO4m09PPYVoW44Yf3mdLF0SfYRmcha1oC6mg0mJu
tCFnm26l3AowrwSEezleTLM1XgJxGmfZlSb3g3MzRFjE266z7cgnrUD3DfcFBXhXMe5cCSEouspf
muB+tgEVkvsMbGrFXradv+NJSy7GRFB9KU0F7PkXYM6NPEKfRl+VyCksMdzEa0gOyoVyBqsCbwlK
tE+gEmTaa2JVVLuHACvmpFQ+Rv53OWyLkhJoDM066FlFHvigUGp7Rjbi7IS8sbPTugob3qpeNIWC
H+foGo+pKuyz2g3ncWQPQvzcJStTi91NCXX30Rmn4dF5MrA8zJZqrWubVEkrdMbVZQ7zJMiNT7HI
w9cMg+slMlXp01ga41pX6hgtD9fYTUHi7kPbJameaR0iVm3/EGm4OaKxEm81xTfFDs6wvqzbAmFz
++uU6cYHChoDBhH1sxyNndCH1GV7Sy2vx81kuoJCMfqBQwI8QVYFZbdXInjZczkxnmfNyf8MSRw1
pNnR10k6bgZAKLkvwHreWAh9X7tqgK8yWKLnOgmzVaK53T1Us2I7GV11JLpqkAws8i3U1vHeN6N0
ZemN8dL2fUw2mjt8VUUopIYAruIMvdwSl+OHem54yk0LwMD4j3pdDx7YNtUFKOT8Iu9lMfHQNq6s
e8v4Znvjx6kpxFnMjMA6Urxl68NckPQ/Z8JL1evIp8nZAYQsJIv8C0WB3QDY/txFTno/xll2j1rV
pjcx0YbrP2zRJU+3UFfrOxB801rvKI2aTqtdU219Lh5rg09fJt7AVptrxOimtUy8TZmXXkoHd7M5
ZyeHsqK8a+xexNCuHRzh1Lw6y0ahAjMsesCrZ6hEIGJMcF9zT87qccqs7I9q+tUzrA6tzjA6y8YG
owsEqvySjpVyRGQ0QtmMJlUNmLCyTzwfHnzEObRCw7hYAOxFzX0daWb5tSMFukD9DUXQCYEciDXx
UTZ958Zsy3lsXwdl/zZ9W2MDR8v79qD3OubdOLr+jyuD3kPTU+1eXZ8slMg6AvUoeS7SBk444vtl
KrSXEA/KCwDQL7JX6uQ6NY94lbTswgQcekI+45m3r2/B2WFs6EdDcZIThgmraWXgtE6FrbaPpojj
pZNaw3o0qY/yTTG9PfjiU9Ib4JhR0f30N2HEHCX8EUXoAs4VSFDHUi3bllHG71FELHBus1VnXRaF
u8r7yFCXohzyFfgJnHZ/ZtzZso4n36ruvbyGVTTn1OWQbGSe/daVs80UmAu3jwqMDsS+Kv372i8g
jyvhUz8remZF/ZJg6oFiT2U952kcLnOnikAn0mXfn2GLiWChXKuYBmVxHa1COauoM5o6IlZt5ytN
JKr/8x/lXyIr/ibCUVUNID93Ocv+M7JKo7Ie9U7H4tAOm9XUN+TA2+YEETMBRn2qPMc8lBmZ7//8
sppq/JsP4/cXnt/Ybx/G7YVrLfEtew+i8jmm6LrSCb+30pmvUxKKearzBInDo4iR+98K9tcnabsH
+zTeiVioyyFSuyc51k+4N7b6o+xkKAWtHNIx3IrR8Q9F/jmPP/Y4Mb1mJSjieqDCZZPG+1h2zkpA
xfg8GEhkEcB6h7hHoZNQ4KMcx78xWbpsYC9hW9d3VQ9SH2x8s9E6OIpmNRr3Dg6bvTaGeNEL7SzS
ae8OBi4hcwOd3D24RvMljyLtx1Br9dA7FZQDNdCcRNZgyFEkIxk3n5HVY7uu1VBcvYZGTHROI8ik
YBwiUJSwBrk7hKsU+GJ2qCbf3ga5/qHDwPyExiLq2oG2nU0uQRgxdGvGXlSnsCjaZqHOh/NiVeTa
9t0S2TWEie1Gl1tr+X1vZZ1JHsb90okh9MjfjByRvwNvasO9gmbaxrXL8U42QYZmX2orWIqSWL0r
6/Lb33yTNOtfvkn8oh3XVlXDMFzb0f/8JmmtiUxjC0FmdHDf0/yaKCONDppLwLvv6iHZEcS/aSUu
FRUu02t/Zuob02At9HxyT74/Oh/dO1yho0+l36snnLK9hTuT/uMBjZi6Vt4cBy/cXnQ9yqNaeGcK
YR4KW28OsMacfTiHoshVZedegRYw96Y5WJVHshGGS12/wuvHn2ejQY+QlQy0DVpFBHY1cqJ7s8q3
167voqhHAv9lgtV6EVwTclzHS/NouCjBHbxHS+y88NSD/jrI56J8Qja6Me3KHt6tgxXNPtCT9phM
QmaxPo1jrj0HiTo9+S2JcjqyccL0jFfKeAd7FxETNGoWZQzjJBhDfasPQ7wQA5gIPTdccBnYuLFT
MJRzkxvxRnVBrKT4p1Nh+zlR2J63ybICzvhsmnV1yUoD2PLcIrS1HBRWzhMDOgEcRlRplx5M84tt
5+0urM2vbhMNF3tuCPOISYssg5RHqXklB+Xi6xlyTTHOKmzFQQ7dzo1MYzyWjrG5rbcKh8sBFbdx
wGyTZVis//NXUZjvvom2JSjfuUJ3DcPGT/zdN1HY2HYYth2grqhEy1YJXyl3smGd6kDHThTN9/3U
admqUHFj0cL0i+hb7TVONQ3Z/7zeTYA8Tnqt6BcxN6qCHTbfgMFVkWyfR+SRlfTV2ijriTzlz6Vy
Qjb9pK7BpA47pwZw0+dI0KEpdETBLnhy0RWA2YSAWCDU4MmwwqcsxXBT6fnRoO3Yf5BH4a+jzLG6
6xipicV//mvZ4l/+Wq6rO7auQrTQMMp899dq4Clao9kWG103nLJZNenrLb94yznG3N92cda8yKGi
jxGUkYemDm2pDRdKneSos9AMRYRYf5H2q9uYQxr8OivHkh6A95Bnb7gaIuQ9c/b0ri8f3F4sJYNP
svqSFsRQhozOUY71tY4eTTv6K9kVjcHNBtb80ndb1EJ/NQr3hHIh+0YscL7K0SXyNbDgqjHUZzSb
AAMPw1857Euoxm1RHvPa/9HEPjyPxf/ct/JzZ0zxIm+L8Q3jBR4HjlFv2XZOiwpZd+hiUbLo5J0i
1aJ655BbZtfcDyYRZBCt/vPH57x/gCMEoukuMh7CMXUNaOyft11RmC1+NCSELLd/cFTxzYVre302
qx4c4XJG5l+f3FYNpieaHuVTXSuRwAdijBDm/ODGamU4G1nx4yGvudo3D72gk1zbxyLdoTLz80JF
dL2QPBP5/hJ9h5ALGXgMpslgbh3b0/eto2E5M4u5ymawg3ZZu4q5pSTRXMdy5RtsrmyhzlivqQXz
QOappmiAUmg4Zn8VXRQf5VA0+igajNFGzvWgXpLSUMejooQ+xj4lVRdn+CD3Q5lZVw8Bxk//bihj
ldw6yVUC3aZdP36TxR7fCc++UJVHM0XXXG9zn3S6Mn4iS4x/azriXwgiWcKQ5RFCV6g6zdDkrgzz
VeqZ47LX9PBvQkPN0N79Qh1VR4dAM03+qcJ8HzCXuQ2lJdG9ja28cQ/aRb+83uVRBdXaRjfwfBuv
KhXb3VGNttI0fujYn7hV7eBO0QcPVa8/yYyD7qiz9qpirfo5AeGFEJJsYRF3pU63t7AMXccBj9d0
bhzynny7W93AsaZCr35I+L8viQS7jVmjPbWxTGB0aeW1BzV2kK6dzc1k40/Bt6k17KPsGarWHtCW
ACrmPVwfqbYeDtu8UxA5kj8c2S8Uu18M8ofTJ+xmPHyH28xtT6piwZiu2ercHu2UMtW106jYQgqD
+nEoMpJnchvp2Im2xyZKOwRFZa6kGX2aW8cuHIIPctwRyY9xG/mRvtaevKuDW60oKEWF7jEbKmtR
xyGmeql/JxsHuMoFx1v/zkamwOg9yNvzkJyU45hDR8uAd7LBcgmSlRw04q7a1gU3I7lQ6xxmOqSF
zhGJrfnqhRrCQOPRfb1pdLa7AnA9p93n6GPuoihjn1RTV3Z+3H2UfoSyifFdqRa3fudZ2jacTCgx
eGv2DtZAdj9pRzHERglBnsPf+sUYt0dQebHtGRfXhGdsK0W0M3EhtVeZEjWEMuXfPH3M95tB12Av
ON/AwK0RNcr53/YfrRdUPg5PaHDrZXkvv62jMryYXeQebt/nxmcTYbamuv5trMcqIleSQwNSY2VX
EC4t46npy/SrY9eP/Yg/O48IYEm/bkG80CmvicTkHcgCBbFwUzc51PlQPnfZdzsJnQ+pZ1VPecNv
OeqcDxiHNY8Z8Ho5p5hN/1Bl6V72QpUCVLvSJlMcrBJd7hGFYdBT86EnBMLFup+uB3Ug7JKDovqb
/Zv7/u7Pn09oOqasqsYjgIM/7/5DaVQBQFAXrJG7t1N/2tpJmi38QOku4dwMZBIuWlP0qAuGxtIn
llsnnuMY2yqPkG/Jtb1cMlrDo1dNZHuRP7rYWouUFk7GEJH0iz03clw2bqojbDYlFpEwa3+MsQRd
GQ9tjmOCf50Ozmi+0Hxq6k7eygondykvd5uQ3Qw9Sa0c/JMc55nx47XKmtsXeBLSM179ilCxs3TJ
BOwV7PWeRrv+UgxB90UlonPKLQYfcasUJ80OxYmNPrxrsCRWsTJSX2x01wlAHs+jvKHE2chlBSlu
bhFNv/5qQ5K+83D0u4NHpt3ZOnTSRKkQ5Actj1SyqnH/7MNyd+13NeKXE/pBI3ywRQZQaSsjf8e1
Cnjz7NeKSSXAaUOocTpSkE7D11kukY3PfmXJHwVHO7VBHqWKn/4mKpjzBbccC3swS9cMVzWFrlqC
2tK774XnqGM4DI26qrAg8DY8CXICIowQrQTTOrfAv04eDjEUAJ79LeTobK0OYfmq+JOxJVfZbmTX
tyjaQed7aqbeOit4hpSUpPFT0d2ta4r8KElUpOqwqJm7MjHqVr61kLOWGPB7CHo+Y+BvIxuvei16
PTheu9Wcu5f+W32T3HVaCw5Gtx1xN9njcwSl5ZvBFyoYVfNT4TbmasIt2Eib5DA0PYSKMnguyDiv
1AY71eyXYWeXOIc2yhEkHLH1rGNV4LpoEvFjkmLgmQVmmnSyigQJ+6w81PVL003hveuRq61mJCnS
qmzA5gnEpMN7bSpqYtx+hd6xf9b1iX0DyMRs23lZd71fCivF4qNREVupc2j1OVD2mdk6CDNc9z2a
npLZmkPIsTD/e26wH73EdtwtcqtR/iYo1NU/t0Dz5+/YbH40x3Y1Pn37XVqn8UII+Anx1GBZ9/ZQ
aFtdJUdSzDKYiYiDUx3p2ULUtvaM+2H/4FvtWk42OEE/dz06A8Y44mSAMrhW8r0+WP5QnpO6aBZV
EPp3IYnbx8ZRn+WXJLY1Y+26ProZbiY2+LOgIRL60LFwEl6WaoNhPH614hSgAaDh3YPbrgxiymFL
8Ww8pn28RpoONeKp3CeILH1FhhQfbWjFT1VgVjvXt4JdXMT6E/l2cCQTWk5pWBwNPQw/oVlhIMFZ
p8fcIFUwlzCtw2ihsDqNSWZSE0B8L2zKfdr3LsF9GaPlgdICyg22dsEwgbgDB9VXwkCFamwKJ3zC
wrBzeNdJUn7C5/wmnCoyfB5cxJdXcixjZ7kys8LeUmQY1mxMB3IZDoVbw3XWOUIhH6rGhaPlpur3
JvisFIXzNdU9LAUBYcLS8+ot4M7goHSdeXERhkNmwvNf+8E697kxfXdNC2QQ16+t0FgXKa60BmnJ
sqqx2yTYXvwcKmSvmidagactq97ZR7uwipe+Qzn0g1oOB1XBzawjZ3+QQTXWIs3daDRrGXCXQVs/
Bn6/DESbLkuAtcfQKYMXNhubuE/s1xSK58ZpKgtSI91Mf0V/o/iU5e6wL5BaWofzsOvED1PZ5k81
WkpVjFso4QXwTUxBXmtCq2UL+xkFydx44rZ9NpCWeXW9LN6AnEfgKFX718rBXQlPvo+jilCSa1Gp
1eZlRQNcreU3ew9GurzvwjRcxIFX4t0FIyd1QIEBf/CvUqlTBTWU2HopdVQLRI2CH0qNDkg03AXK
N6wHkmPQ95umh5jFz9LfkoJWk2VUNThNuOKuLPPmUddKpLIc80OtWjghmJl/b6Ktdynwvl6gb9i8
6buG4uDStfpgL8GSmTkp2wjX0ZVEUiKTrqAkDKpDC8Fw9O4lSsLkoXNVNJSNgOATHKzaWFg29fGw
kWNGU8UPdqovFLOK/iaK4Jnw/nFhG6ogPDc0EwgYrrB/hhG8IPhE/P1WPFSyXYMctb0qR2Pvhsg/
6mMrLj6yEdQtqQvbmfk0gLta6+Xgrvvat55UzdLw+kieQzNIq+VU9Xee0TYXJQIyLNeixQA1InYR
3Qc+iN+6CmPFMtmV9+o+m48ST2igiBHB+YCcZLAoXbblCT4Lox6OwXEoEa0xSDGCf572Nw8TAy/C
uyZCls9u1Hxlzl05KydSAw2EFqhezl1u5Sba9FkzucfXfK38EZXBpJh6HLyV5sVOlL0nIvUzpgTW
chJNdHbc/AWlqOlCJLEx0hjH0FkFyuCdUaSMU2i6sygUqIut8EW0Gj75sTEcZZqJlDhx9q/m3Rj4
gnRpF1ZESSo76HpcngL2wfeYHGT3ZuIl27wlS6l08/NODuZWciiytgTK5RZbHmE+wmakTkxLT+7d
oEv4XwSgG8kqXcSIlgpaLmgrlSgLxC0eo1YfIpcp/h9l57XcOLJl0S9CBBIer/RepGypXhBluuG9
x9fPQrKnVK17pzvmoRBMAFRRIglknrP32o44OvO0/2PzaV9vd9Xad+tqUYi8MF/8tKiPcuM4Z+Ju
zO5xSN1b3AQGCh0SbO5dPQq6N70FwDaL69EZa8umVBCgmxPCvXpqtvKaIjcj6BtHa5sr5XgTS3XA
tdpvY3UNVwBeqQoYSPZaP4b1WDATQ3mxltMFuYkToiZI7laXpFcxr5A7ZYanSVgZTYlwWYROig5O
qKeYGjz+WhE8Rmk8LskC7r5oQ/bV6033D2P4SWIe/dsxMNZdocePsipnmhg2GiilO1mzg36Xkfqk
kzBFyc4vNXc9ukGz7bqzzF6n1mcRFxgpWBmj7p0eehvp08rw+24neQGtffOpbT9J2EBNhXsB80A5
yGMEk/6h+WG76gQzEEk1uCMQWLc/R7mhrCcPyX01tHzWWxMNWW1frDT8M1CC9hkSZL2NMzfdq04/
QPsn8FrGnKv4GRTRW99ETyyzmfhife8Q//NkU1jz5eH32aZgumEYAiC8S/3ftObLy2+LuJHYUcB5
YUukb6fZP3LBOrHH0rlIq7x9Q0i3itR4+tqE4CKytI73ro3Epy/Vb/HgDdzvNT7r87XivskpHYT9
E3rNeGkWTnhQy0xfp7EvNoAs/WifJ26/8i2/voXzZjKyYpUXjcLd1w1XEbJxog7GVD+kgOVXgW2i
noX08kJr7yBBrnK/N4T9oRYif8HMeagqk6VzYpOE4of+NQoze+mMqf2O+RDs2OD90ZnRAaV2dLSa
MVlr6Nq2OCm9+yxfzutlD2C090nCy8szdDdpmV29TGTXBm/TJrfyjABdJ974GYh+ZeZC2G64y1Q/
PCtS3dFqCXrwKaQFPUs/iDd5b71B32LYRSBfd2m8ijwSjw2w15umg/NllwYQhKAmLiPULXV7H+eZ
ES9j4b5W5KJwCaSgJr99aKrnaq16lSO3CJA8EKpR2foGGOqaCFj//LGJRRicI+x/i8LNgzPwKryx
AKIuCSC2h8TOcENB0voqOhN5k4qvGDEzb+VgvWfq/BvOj/q/7wvVcWGlTXQySjd4on4JM4QqzDKq
6f+ZQ6xsR8fTt3gwCSOLq/I9i7uzbtXDU6749jlkJrggeVccm9KngpkExVJJg3wvAR61W5jbcQqT
lfyekemlXYrWeeh8Z1xFOEz3wOod1kOltsMiUL14cXmtZ6N+Oah4Y8LS5HfD5f/FS3TrYQyVYUkL
Y9qqcxFBbiwVNF9aaVfYdDCrJ8jo5IBCPbKMbkfTSrz4hnHBvRd+rwofAXY+kjI9/EvhhFvJ5y8d
c1PhqMJFUOSYQvv0pdOmdBiDPuUPp3YdOv3OO+hGYWUL+VBumojQZNXVTUph88OPI6rzFsXhQVOC
7o5NjhvrMSyQ5w1gEffJDJyZPL7RXD7FJkF24y2QIRT7qe3oRU0kio8pVZvoOfDN2gdyZj8roeK/
Z7QcKTKNxIExcd2AiNOOvTCaoybUbkWMkkfTRJQ32TqQm99m1rZXL+zMym9aD/McOSGphlEUr/PI
aE7wdBfN/E4NkBpWyN2TU9Z3wzWvDEIQptp6dqf+nDqkcjZToe9kB6Ghq31IU+gSBg3SJ8An0I0U
Lk/KYEx7WFLeQk5o7jOVlF+3aZ7Kii9JrNTFunMi7xnUmVRtW4V9ofNpsOxtKennGn58M8TpT5Ab
m9ggFrOGkxK7UXHlAk+6fJp0S6NCoUpyOjtn6M0sTb+ooOWufZ9tdC92DxoomYPBPXxTdWn4lhGL
0SUlq4Te+9bYo/NsOXWxje0kY6rkWbc80KeFFvVLQWd+CV9XORVqEV2GcMKaOhujcvSBeaRjWCjG
dRc43nUYbQcAs8OaoMqUq9y01BN3rbFq83g6FUX9VdFE+yQ3cWG/VSZtMKsCQRHRpEYQ6Nhc1Zv6
7NRa8lLWPvwVy4an2bY7TefmIofh6P2MMVBd4dzot66vXlQnuFC9eZCxhR+bIVO/26Ax9h+75CM0
s9eE4u6hJ/2ViSJfdFC3Vztpkx0lyu9u2S4dqDRHPWNKN2TNnru06yyDjgnjbw/1zLXX9pSZi3Cs
42M39Cnf27J8khuVVgfih+bsT36LwKwg7kNE1lZH3IUbhdOKUiufhiycCz/mreliQVLc8OR3HjeG
vnJ3/TBVL1QGYJIGOZZNM63wdeCDzMapWkdjx0Jarcylh9TrlkSYtEQZpCfgDSq/W+DyjhbTA7Mp
daVgoHqhfIJhp1c3o64jPhrykhzwATmWZNELHakCmE9cRDXehJI7rOfivRgda6MUvPG1To4IK/d+
O6bO9OJURAMNFilkciiGEAI2hdYN8l71xZrvqC16/hX8EXKSlB/t4PtHkZfRCbN4dCq16a9HZKYW
B18fl9Ovgx+nRVryRn8O2VpkYQlI5Pb+WJ4knyMf4UPj3qd00WqEtcM6LbxGmqM8ZxmzUxYQ3UkO
O7wRzL6jei+Hht0VaztEC38/uY6pcObOtLofLfuaQFQKvfejBD+dbU0nQy+a/VPLORj9eyjM90yv
xBPcS2OfgA7fxKZTc8/6hum738a6Xez8sqer6JfGueEWchadna3Qgtvfhz8jP0p/yOMu4TMrmDvE
j2Q2C+/eVrONmiFJlItuvdSKU0S5B7ekd5CbBJ3L/RHY33/YB23Yw2/1t1NUYBJBqop9FDwYxVtM
ZNuI7OIcWxmucdWZrkGatktm/BpkPPap7TBdOzCEO4rhLHLmUwyn6r2Fudfa1F0Xmt2uvdxKX+fK
dzeT1iLDdPfMwX4SeMSVWfUHIs+bxjx4jaETBFht3VoRT6YxJrfYtB81Ml12iZJhGwDFkEIZ5O7f
ULdDTIpbfzBbEhDjokD02VkbWzTd8xSFEY5izfrZFPTclbL7RggL67jUyR8+zg3i9X31xxpbWUnl
8F0+bESgt52gXoMhys0tfjncNgjjg1Qk6yoHIIlmodi6nQ8OxTGKp0nE4aKe+wA2fQDEPu6L53VE
ehsIT6fcFSzrrWdJaZIbRwxE8ZRov+UQG0t96GK7XeR2qvyLNoHOxn/ctl1my5RnTVdTVe1zu13H
1T+/Su4VbXZFZ9e/Mk0fMIRU5VoOQ6vMeZSqWzlUJoqzY4wizO2D4hmIyKrX3X1O9yJYxN5lsHT3
T7spnkCWxl+7Cp124o7Rs1do8VrxmKulZcXqsCiGQzYQxp4AKV06JDRQnbQGsu2MLEZIqRTJcycq
ektAv8YZ+kXZQ8OYm36Xu4jw+2u/fJRG33NTr7SHuzR8cmBQKCbysKaewt/WaSORZ1GdeP1LGCTR
Wi286tRGSAai2u+eO+7uT7qD4KD1uG3H1g0p+nRpezdDdIy5Nv57HrYcOgFAyqSdhnt2tgzKlhnZ
o5I0u7oZ/jDxJb9MZMunFmj8u/sMuHrVlLcq7mG7M0fAZUjodD+SjwlOsAL8dzLqov7YlaadeZIn
yP1F5Z7kroZrVbD89aSPnxNY/vnjSb9+9P1J8/9Gph6QgaQ9ySqFmafNTokxQ6haT6CsPaTVgvUn
SuWkS8RSJn9+bNyqczZ9an75LRc01bo/I8tBwE/AX76qtEY9yY1eA3Un5izbuEb+/+xH04lGnGlb
li5UDaGN5XyygQg90w2rp1dcc39ZEAwiLkY3AKlKs3aDjTl9STvvZ55r2qpzAn/bNoFnXzU3tpEy
oSEIRaWvJi0DUm/X31JolEM0czl8BJlYjcIF38hlks/Zi3jU9/3QRitNZ2Xs6Y1yI6RwrvMA48P7
pdyUMFRulSjwUEHqs5vQhbMRn6mQVPvRER4Zr8O+JxnlB4os/KpCaG8lgWzLUkncR9UDmOGX/Aa9
gHAaCsM/OnUcH7EMutveab9RxT0klhZNC/LTa8CkNl8KvHZnuYFBwBHC2QDAGl8j0RjnNNN6cn/A
oupxcSWKZnrHAzszwlV799eQ6I6mf0riPiYuM66OValbyyqMqqVFfgApZ3Z5lAfkI7nPJa6AW36Y
7FpqhKsiz1ScTplya0DM3EhL+4rfsT1+7Bp/IBrUb01RrZI4aB6cigCc0Ddfbb6OoIpzfLkGNrGl
fIqC0J9YkZiw7zH4YseT85b5XOAtPpoPBM83OysP0XBqLPJErF6dXrNeFOQK265qwt3U5eWLXaZM
rjrte6K2Je0Tz7nBuysPaS9sUoG86T2E8CnPMCsarALq6KXxuIlNIxSeZCzomekdDigFXk0kh3QH
053RVvTzJBRy9Pzq+M/1i08SmvnzrKv0lFSMJfSkHO2TAqpXPaKZh9pc6oM5Haym8y5yg4YvWfQu
ob4KlzZ4vx3xgL5fNytuFMNtLrksVdEVu6hKxkcu1NYtVO6D+55Rq7YJ1q8ly7Tx8b7PbH9kllJs
ZrIL1DRnevXEBKTCmOyTHDJTY9qrhTc56vNNXUTKC9l6+aOY7N19L1+oM6oFNGPzT/BJswa3GtdX
EbrZoi2AcAWlY95CvTdvAQzrxCqVc+pmWKyyxrz62lWfxA4Tx9pN8/CZsq2xVdVS32mK0j32HSRN
6vvuj2h017rR2O8WOMtVxHL45CSTBsiNkkthGAC3BtK3dRhb516lAbKQD/Vwq+imc+oyrT3f98xn
yEdo2NuzohHCk3vd/uOg3C+HrZL8+c9vMe/o59suyiiX265mmUySHOfTajltci0ykBmtHM8oD57C
FSjUeu1BK/Rpq1lk9ej0d48wyPtt6lLcwAIsVlkfpsQp4rkweq/6htp2S1rp/AV8khvdJIKi0ixl
H1VRCPwzrk/1OL5/nKHmQIG4r/oHuU9TuhRiWLAcBFP5IRrLd8djrpkbXD9bzRdvhfkHcIPy3QOJ
MtNupnU3nyVs2idiJCpGJ9pFg4X027OniQJ6qdQH2y/0q1JyK1N4uVSEraWdJQpzJUeAkyU4Tx4Q
FhqBdHCym03yzmkMgY7IA63Nq0sBK05RrENeyBwUi3Aser8N3p0Cp4Cb9ja257Z9MQt1Pc77PVYa
O9ss3bUZ+8F7SlpPOZTtzTnEOIFvfSUmGrT9tJZp1IE7lJfAKk8UfbSnaKyClXyE/vdNqR3jpRIN
aS9uRNu1c/SDMRTKmnaW/tZoztEHpvQjm+A+Zr7ZPFm2Ve7sQFe2qGiUp9gy/pThOFPTXyoFnbnn
OfkG9mh5yFEML3y6fFvDnaaN4w3ctX49orOlbshUEpdMtf7jaDHvU9NoLmobh4re7SnMA3MdOIHx
Umr9z0a3mz8GO2UR5o3fWevPccRtelMMHwHg5Fg7V4TklebDEZmCsqFxZ+4GQ2V2rNmvQHDa7wMr
nUVJctxtDEv1MLTKsEYcrn11zJ/yhDCG2oxyDhtw3VNoivU3/BpvTTi214gE9ecZbBnTJCe1haZV
zuTzXOdNtrOH+j3vfO0sN/pQ/vVIDjVXzVaBi0VWPuHjvJ5iKe160X/LyiDYhXo4/kuXWojPXWpd
4NtzmAkjYjRdsqH+XjeuQpJHIYkb3AQpn+N07p4AduJ7VlMf+qxNw9kW6TpOk+Z10JMfLTf8x2gG
ZnK/4wqDWeej13OfVJEuv601Itp85wkfgTjZYcfl1apDJA9BWB1G6ZEqvVBfUN1TXjLYucq82FES
Z16DQh6Sw9CotYUtIOMV8BSUSWWlqKFlkHUkEDvK1UuQV8zKVblJPQRn3Beau1bVqZt+2wwNWZD6
IoAq+kA481+btqdwKBpT2coDqhbdSCQfqXoMMM3T9sUerTn0DhsXkvlunTmdQjZzEa2UTow04d32
nJtJgizM+GFZRrO5r0fV1MPUY3ERbuYmsFyUyg6wPDBULNBqn1K02yl7NSICwNT99uLXWnNBz2eR
VlJUG0RmEHblESVMzqZDAI0cyY0+P6Og4H8GqiL3YN8gaSvQ/R1XYP7Sd2JrbQw31cnzHVcPh+ma
POTIBMxfh6R+snYyczfSelkW/dS3qyKMaFv5PurinmSMQzXgI8jM6it80mTte9Us5939891B+6QY
x9RsuAL3ggG/1wWX+B+1VPJomrhv6S7XCeiVsbe4jLOByWqd1DiCDCsf5s4FCXRwgjKLdF7ukufZ
pF53CyZY1coNKIB+/IT7kZFu0sGwi0eSHb4kYej+UYlyOfqj8p0SrreIi7p6rDu93E5NRVWx8rJL
zFd2Nai59qYmxYt8khVRXfTaYuUaFFvkJzGzzGs9xOlFfkzHxJhY5mNclAeHnKbdGIlHeVB+TB3T
/u38JBqndergZ5QH5fk95398rFVLvyYWJUu56/8635p6EFvzufK1yP+czgyvhYL6Wv7vRpO658qf
HuVBuevXa/9v5/967R/na397LfLnZ/PPly+tj0bnbKf6oyFfy385V/6e8qf9Ole+DD3PrQ3BrtoK
lOaVfPS//pgfv+x/eZL8P+df+ON84SUTtnyQ1x8vyOQF3UdFMe5pdhfLUOntV3eoL1EdZ7fSaYtX
Agfjea/nuhnN3OBZjkJfpMcwCtOlokf2K/+SbV02JsZ0zhWpn6zsyqiJ9WQY4BNH0mXjTJlPVppw
TbaG+qQbkYaWQLn/B0lnBRcbxjDl7flJqdnsrXiIV/JJHeLsdRqk0yaa9vdLCk73+IS7fyuvKPJi
EkyksfldMKzSSakWaqwVl0JrxIunV0ulqrMvZTZNhzZE3yaHgzXqS09ndSaHOpDchOTi12wS1lk3
EP0aupd+8e1gXJcBwH2UytmXPpJy0OAx5Q294Yd9ykmy/aJlib0tktBeyx8Wzy9hsqri4gyWeJmg
N8sfVv/9JXTzS6A0Cxdt9DwdsI2FhM+QQi4pd7Xj6IXgMnRhs/i10T1FW0CW83cwWMh2kmMmAcal
Mox+k7e5huN2XIYRRLxlH2IMtOIxPEr2TpPPCvgYjqhk7wxB3dzmk+VBuUs+YUiK8JjP94/WoWlV
BeL3JzQ0dsa4QE1BPhZ1gflkSfEJQr3Z/vP175MFBOsHGVyW7rjEzLpoufRPajG02E6YCFbHaFvc
ZT9LOsyyuzJzzO4ajh5o3Fqna7pWBm4sM+oCQkS7yShOvadTtHRorn9nbQ1jF+rtCaVQRc3/q40J
ZKsUsb+WUU9ySKAm4MqV1An6kdLdj0sVoRymSuGvLRHhhTfGtw+urXykGqTPBG6grD9gufLAx3lk
O2vU7FtlLfc1TaIuE/zmW9EG5qWC30D8k0tWrVNm5/vEoxvA3ijqERyh94BuQmcdFRlXW8vThRrA
VEqaEAWbUuL4Ebwz4J45Z6zLgx92mKl9xb8XHEPQ8PTKjJc61qttxs/dVXXZPskzMnuK/2UKhaPp
7+sapBTOXE6EJaOjAf4P+0fPPTVJVGwsvZUOt8wao4UDGveke3n3LMyM5kRSxeQ7BP3zYNXejneE
wln5XiqT910jkiCH7UW3Aa553WTa95Ky1Gw4V18KN1ZXhdsRW5iKjVF36a2qHax8OOd/jbKsogKR
JDuZ1NXOwV0ywksOP/b9t6E8j6wavoyqt6rt0TxjNcPu5hU9K0eF9WlIdHxgU7YXXh8dJo1mmR/E
/j6xoviEw3hWVen1ebLyYGsEI5HgCbOhVGjloWLZKtY69eaDn2i1AFfB3kLulQ/N+VDUDtYafgKI
PE1Rt2qcdJuJtda7UXmXyIvjJyrUzcUZh3ER2UryXugiWNWufXQFlDd0+7tIN2x1lepYBVzcCzPk
4CZydQuleB8gU12RD9qdNbPpzsWgZz2oHh8NdujBPRYV+Fp5iI5gB8QCJHvuPOuxOxycWh0OPdE8
6UKO5abNWG3XafKOfg76dqDo3kluJnKVuiCt9x+75KPYCJRTquYW5qfGWk+FQQ20L/SXsMcsrUTT
05SBRSjzSVv5fb0TgW8TgkoJy8EjftX9qd9og62z9OlJ0/lb8JwcGkCDt0j2cQgKx1n5al09DG5g
o+ts3AOJosQ8O0G5rYm4OHoaRrEwVYl2GmibtAaT46huxr3U2Oilga3BG2/NnIwklFcdJRpIvDlB
dR6aY+JzYQ39jRxWcWwuVZsqqmZMKy1t8xdqLS+yX0MV+ifUB/cJpmW7G0JV3Wae9ekEHw3EwrEC
88QCEdaQOvivH4+QgnzJYWc5BFl0Sqn/1Kb4J+CB+Es7wsR3G4GxyU78jZG07dnrrHzfOFG1Bz2T
rQzm0gd+fP0YWwqK6Vq5yFEHPHYLe0IDIRTXpNUZrXIAxkGH43/NRAStZdshpT8XKuKPhlbnl4CU
9I2bU6OJh36Zdyls4mag12XDj8hnF46OXnXjzkLWOjCTr7ZN4DL4fpe80Fq9JX70Q+6fNNAg6HuA
STtGtqdnPd5oChCS2U76KhDRdJP7mM6WK8PBJGIG/s9y6LKFXrrOxp/RmYC1gzM+ySJeu7XZvnIN
Omo++T9DSTnY8iP3Jhrd3LcqpDH+6k+oJZ9zRIcXL28QTlMMO+c+brg+yR8QcuYPhsqleTFkJxY1
HfjGedQNlHkJ1GyWYZwcVL449dILxDlUA//Bh7r3DO4zW4H8mn+ZqcdHW7EcBOB3E0Zg7nJDxY6N
RPNJDap8ETW++Qa15NIpyAd7rvNSIMLHdVq2dkkK2hzqMmku9QRcbK3wKD7Pc4H7JMEsCzSQ0P2h
w6/JsKRUn5oetey5gQB6GtgtbSOSXiJ6A1OeiX+50JufBP2oI3SNW7NwUXTDznc/LZUtgHj8xbuf
6dQGUOSdR5MJ5ZekBPnrW/W0kUMtz9+rLHGuZls5t/mshqL3U2Omr5Swx0U8C+rr4FxhJvmhmAMY
atLTj0PnXHrXcPaIxYgcm/rxa2mo2wZM16vcX/bRt0ggaKTNyMQooqa1RjDdIjZAGhrbEbCT8EV+
h5MoOsVDU1/kiLXlN4d8SVa7fCDkR0N+SOTHZeRzUwwIxBAQdBt5RgKDYI3GCheAn/k7z9T+9Kai
NA+1mXdbV5n+1Ge8T9CG9r/oaZDNfLqTCvCRtOZsF7iO4f7HndRwO8JYXeKg83Eyv9Si+NbDF3vC
q68dKgXFl5SPTsbPhsL2O+pAsSmURt/VXhTtWWF/16lpXyvPh6MPSBZ9TDhe5YYeSrMJB3VaymHi
IAePKpEcAg9/soGG5FXhUrwsDJG/+uHM4+CdvD/K5n0CCjDSB0ynqeZ+b1F+2Iqv/KHU2ZtdpfVb
UucmxQCLqK+QlXRt6MsUc/z3WqHPq2VK/mhZQbU1yi4/wI5KTsJN0HTXHcYuz5iyk18BXZxM/WIl
tbF0oS1sOrchKVqIYKdnJvWkIqZR5lU3JsD5jowJpqfdUOwQQtC6qkSFhQApXhIOyTpqgvjBx9i5
kLK/KgGaWNipeiZ8Lr+Vo/0MfA5dLm/jMrMz5VwGo4LqjEdyg8q/OGkCB8bf98uDIGGHZZURvBt4
ebAwmdE+txZBfVVjbeUIzYT73MWHkMiAZ7kHoOFlUur+QY5cimULrjEjVCWePAVk0zohJkYK9Du7
8fRHa2CJIDyj/V4EEU4EejWxFrR7B7TCpo8n7UsD81GegGeVjDtybgFVaiUiNk999JACbaEUakun
G9VHuY9Vz3tg+uFJ7sLE3J+A4rzIY0XDfTOpdoqIxI7WXXLA95wSjNfMt46yuSoB4LqqaouXNI7F
ok+5R0MUu7UgFHy+jo/KMA50g8tmHU0GvlVscStVI8Z84drpqjIS4+LS5l2qeIO3uPBakmpd86mh
7HCtJ5L1ZtlumnjfHKqAD4qtXMMATJ4bxcO1TsW3iWXaukTMu/ZZLp4n08K104cHUrJBzHv8P4pC
TYvVOGugLq73RLkxEYQxu4c8k2x1XDzM+5kpgF0BFZSlLxbQqpNityxwRrt4HxyigkFfFudq4kLM
t+tAU3CfZWN0kS1WXfT/8pU3PtcfsUgJLFKWqzNVxCdlf2pkxlYziNql7pq/9ogWMIZo49cwIbzd
HPTmYkRtff04oIGiWiD6bS+IQOtrVdXFwixN+BV2WR1a8oYuTkmW6zy7UvwCYICv/RCt44P7LSmM
mQryNKsYzqWufw8owW/gjXEjwe4iLJoO5dfemNEWgsynVQiNal2gIwqrYVgYSVUcTb12X/N51jn/
wYiCKndTmXpr3FQdjXX+sCQwlURGxtFGrjWB4TbnKYhe28H8cYdtx436ZBUJhmEyLJaGFmXPiltz
nTKirRwBY60PbtcRSEdPb88t9qYE5BQvLDVxzm012EzSbRtCGKc4QGK296E8ByU88eOBMNfWFDwj
lDwheK3OZhOBZpIPPzZOpR0ru1D36gAcBI5wrBx8wwICFPYnUhv7k3xUjIFO688t158OZI3431M0
ZVWhtMLxg7mtdIlbtBTjhxzVqZEurbq1l2Zdpwsf69u772QEWnphc9CFnX0Z+zP9s+Jh9FOrZvoN
yZKSZbcZ6WgsZcvCGkpl4fRluxdpcCQ6L/sBR6jldjpat0CPnL0v/HbTDLl/SYY8Xo6E4nXqi/wk
oAGfQvVFrpq0pdwfpTZBzpn/6Jbm21AHBk3QTn9RPe0+Kuca6K+RPPbrzLwU9gl+d7JoLeOPirL6
yW918VwqrbfU+wSWrVOK596tgy1tAHflNRzNaB5g9R3oHRivH8JpgDrWrga9hU8Kg2TSGc+tYo7H
ZFBRkRSm+tr1Q7xzdFLQonmIH7gmC9YatmWbite6MvNlhk320PCdDZFVbWnA60+5m23pEupvem9Y
h84CBzGMerGgft4eqVc7D/CAcBvO+YDplPsr1YgpfQ6oNiMzsxbSC9G5qAD4mXDmpDUCP/7K9aL6
5BfvaoqJaPH7A6fNmhueQEzLM621nKr65FqRtm5rg+7qTHqVB+TG4d1ZwB6pzopFuR97L7jYWMMX
ApttQeL9ApEFP4oop4VCRxBFwoyyj0ClLnLz5+hqmKMD/Z3LV8B6O3ppoaNECxVVdZ9z+bXg1unj
Q1QV6rPUojCgA6c+SyUfg9AzMbf5sUEYt+4/Gml87OcVjmrYyamlh8mbkSuvnhWNW3VU+7Vdwtou
ae5u7ayZyTJ6Ux/7TuFhp4ltkVnqTlWU+ugga9hblk8PD4P4+OoV7X6wJg/xvV4sRRHrN0141ZaA
ov5A4lRzdlSzXLeG2r/4ZB8sZtDhynQQlbhmEEDbbYv8SJHy943cp1Udah81sZdxUJTOMtc6cFu0
1HgSRpV6pSSgnIORbEz8WNwuARcRj5MfLdXHcFn57XSwu5sdZ4Cw+4J5c2JbzwSnwcSNbWPFfC16
HDUvuWnd5YMnP5B1u4/qnP7nYAAKDsVIoadtHlMESsusGGa9Sdg8xpSkThpOx7jQuiNLoW9gkubE
uKY7xqS6HRPpBZRjy8zzQ98MWxtk0V3TNprVIzIzgliTTByVUXvRyWA7tonOMobcIeJCTRD74yzU
TLP0Ug9tcwhnbwilw/6g27zBs1GqooQyf51NYzAef41KOzEeK3twEJW0RDGSrMjcJX834y4+aQmC
Vdal5bTOkBOeGteJ5t5M/dx1io3oX2QH0Ar8b2FWv0/k4y67PJ9eQiv/IsMnwi66oiCI35osonca
9ogpwGju+V91ohkS3Kv330NLkjWQUHNJuZQoulEv15Dak6Vm0P2FFpVdZCykfMRUDK3liMN+XpHa
QYbbw5iso5ZCiBuspURlKHymIdv05jKYKxt9OcEuozq6zj1HOxRqUj3GvDsLrogIM3PjGTv2QkY5
uA1TBS0IvmRVfk2Rz5GxHFf7UJ8KLL7eiz0XGC3bmBadqVYU+ufoiFATa4eUPxIV1J01eqa9Svn8
7JJ/o6x8lg+g1mOOoFqmhowRD9znBhEWUT8IhOUvKWZufeo5mS48rqS9vukwSe6HcqwQR9oF2HQL
ueivMyhjwiksH3yjHvaKbQzrISEWLuxLyPRVpB/bYRiQSTXTt0Jg0O2z6guB3c02CiJnO02EDKp1
s5En4DYpWf2DYIttuvaDiK+T5Wn8RVDFC9sFcNyrz3nix3t4fvWS+T0ak0gbn/l+ksyLxuChq0Pl
4maTfjduyAOlbnfbu45P7fw/Y9eoVp2ETYhKs1iEM1ZJfVl2WYTDdc5qlUGsfS32XaI3J+lYslcg
HNNLq7LGl6DQiSSKJbka1HQaiNaIa4Gnmeq7ZSV8KkuMUXKo8/Xy88s/l7TNTzLL+Q3DCaqxLjZs
m5XdJ02PcI0G7FTvLwcL6jlEVPQyVQPacnCKb7lCf74Q0U88N8A6I2oG4IndHQ0AdYu2QnlCwBAu
5CnWmMA0sZ0vLZ69NVKQ9OSquXPmK5evaCiX8qcphoUTLY+jI9LtTP+TO8xWa92jUIadIbLmpz8m
r5EdwDADT7IIvEJ/i/MsWeJ00p49ZcpWPUz+W67wagV/tAcyWfyt7bXuqfACA/IS3iXVt8TBYka7
i/oGIIgSzbO2IX1wS5X6PFX+m+0FuK2UIF6mtlbscOTbQG386TD16n3UI9qaVk5hK/82n/5ci4YM
TgnasGzThDuAHezv7Xy7rA3fGwmuvlfVyR2tlklr+qvasLJVKMNWlBxvIAGY/d7NzH2sa/W7oRbj
yig8g9qOOx5Vtb4YwPG3afQ/1J3HcuRYlm1/pS3nyMaFRltXDQDXgk6tJjAyIgitNb7+LYBRFZms
flmvhy8GMAfgFOF0B+45Z++1R6PAGkulx9/qOPgpM9YkPudjnXyizhbeGRafb5ZqBbtlT5Ir7ych
rRIDMNJAp7DmSn4WcYwnd5E5G00br3K+PT/MfoIk08WuUrNsnntTtLz16PZzowMg9UUe/ptuzme7
5g+OOUWRldmyQ0mCwNrW1C+VBzV46yFH6wmNQYNv5+K7ZYZ84OnTIinTtZNZ8jqviiYsUVmqEss4
hm6aOr7SLTBJSkexOAVmdF34ZoVe0vxoU7XaVzMPNseLtouo0xwZ/tTNOG+WY3WZDySggyFDyKTi
286SDrHk4O3kbOouhk35yTU4A5ZDhim/tkL2dzQ9FnH9ketPhWrfL9EG+F+bcy/Eh1cM/bGbAy4k
2zP2Wm3YLjSRGPZ+2OwoQpG1qgBsT1LXrP2KpYIedtJqsIzxis/aHzeFrgEAiprjEKQAxPWEEijU
J1an8WMiRPZQRbrYVkMKnS6avDv8yt9L0jDvfCt+gMNiryqhSOsW9VyGT/hjAvx7owWadmuUJCHV
NAddABHarTIfi7OS6JvJONmzwbpvm2mTeePr2EnWvd5L7ZYSzAYMWY+3Os5rR7Ni5RtIjF0KteA5
LLJhjROoPg4Ycy71KDpc8nNLDQcPoJwblN/CKcGeuArNk0sPb2UvcVPdFmFr37Ud6IVO8ozvBPm4
3RAl77Ne1vazhxRbwUFPJPXJ15ptGjbiLs2Yu9Sqcbscpp/u7w3WH9g5eRbWFIVoQ9tahYb2ij9e
2YG8oBMgt80ZMIRr+wPso4oksLwvtFsqEu02qal4e9JzDnojtNvUL8ez2qWX5eQCayYYgQ+takbb
hovjHjlmHq+Z1trbwpy9TBPhLpKkMCVMotM0Q0MCkx5kWMb4EShEGCr3qDrjXNSbfi5WM8k7J5Ld
3OXQ6TEUhnR7beKxGX2ELgM/iRw7NpWBigbhIQ8LuK0HhOwUhfWUHCoGVSSV3LadFn3zzPRBJGr3
rsfVs9IY1ltht29EZnBlj4MfBKkqr80IHGA00K12zeC7NDyjSzRN/E9JP1OCKrr0U9xpnw+9CHVG
MpUEE3Biee7yqKM2wrZe2RvE2UpJrGv9HpHFuKmIX3Zixaz0Qx/lT1U0KvsS/eFl2UgdXRYzGW3n
17HlkR+Bz2hliKm/Tkyln2CNOoBpsy+sUI++nlrw2+Jt6tf+Vbuozf+5u3h+WoJ6tmHhC1BPyWYp
tBRCtY6AUejKRdxatBhKlJQf0BMwKF9c5OB0UjymxaaBP5KvLTnnapgYw6aNMG7ZZbz+pGWRsLyZ
Si6VWZpnWO6VRNljRY0cW56CmxH6zk0zhGdjLKNjxUfoxkyFvB0xJLnL7qDEjxCK+31g1fm7HuQe
UmP5AYl7cA5TI38qA1KBTam7zydGE1YbXVVdbj4Yyl05X3h7GUGt4aMFFyAauC7HGvjVdIi2apNP
ZEPzDrGDigC8QIEWqooLjmJxwSnJYKWoNWc5gSG52GueKW8yS2gY+9N2k2ua9mTlyr7xm+CbhFPT
kSsjuMFrMR2Cli4CtZgTzFhSIez3MPWli83k914uAeovh3XJ28smnAHJ4FmSzWg5MKVj09TBcZq7
DyO29BNaLhmfeK47HvHzxAJt/VJN79OYuRaNocpddkHCDtdSlm41hihcDwZ1wyTRPmqtueWVCPfM
PbyjP2+kpFIrR3SDvaoVDHsagcaXqJZdCH/VmZFBe1kOhRi69vTb9m0e7GlTqk9Z0bQHAl0o0uZd
YBnDajDFS0voMw4hbyS4EBP5sZ03SeFjG1j2hZ+Hx+XRsiEvvnHNMLexdxAdhntR2fRSXj33XvEN
h58mw/CIAhkAdxXTc8p4C0vo0+edet54UIO3Ov11p+ws6YpFwaMyx60ve9z5/rA3nxMzXd0qNJKl
KmmL6w05cmxAABF+uJ1ElW2iMRufvEgxUUCX7Wk5i23PNa08fBgGrwYvQNj3/EUZikuij0LSwebd
2Ip87i11dNAAnh3yXO1ohZckX9Wx/WlCYxhauJHeqQjbeukesXAAB7wKtovNzBZKsVXKzPw0odlZ
HxwUCAauZqXdrVZgDiEx7jIwoHU77lgb0tzsCz/LviwnNIN5K8LUg697q8kmiLn22/II8IIW5K/9
5RFhTT9PA91ZkV/bAG+zKbaC7HrZeBOPBl1SuNWUIZOhWUMPX5Zc3JYsqIhXzqj87j2f0ntmv949
4fMkBDVJvk0kM34KAKgtTzCjPnCNjPdH1MutdCew2u0Ia3mumTWcZuHpLS9fQquqOjRBb+z8DmDy
MkSbJIiX4Pm947KLylpd0/yDfjP5yqbrPBJCWGUgJWn309L0mSzCDUXNb0lVMN745n2L3ztdtb7x
pkuWv80lxdwZenQCe1giYx1pES4Pl40MsLmwbJWynrO/Nsy5q3NAJMRfFxPKrH/582qNZFYLrYUQ
5jwd+rKwLUnDrVhUoYvwvXNBMrs7VJ1yEJ2hPNg1UwyZ2wNDIs1E+mcUsyDIUf/J2vhC2FjQG7+O
qeWwLvz6FSZpZkneWuoV9bI86ukMfj4a50dShErhr/9j6vyL/+k/xljRRkKC7wGbGAEaf16xY37R
RtmDYRpp3DwHX9znGrIQUj/vLWTGl8jzEmIeyHqIdMqM5VHeWuklmo8F87Hcb4rNNEwvo5HjIGSl
YNzNXJTJ1U25uvssKyVIaI9xX2EAg9h77KyxubDCI4Ag2/gaxI9hvmtJVkNH3WRIa5t9+qTgfJXQ
lcoDVs5sWUwy0jn99UtgfR2sKgq1IlM/IRDRaObXyr7t1bE0PdNzBB62YJWLyHZo5tQX4nW4gRpU
aymKnjsMkUzpha++EFz4oJZj91GELzb6VUZF9bQjutN8b1Q1p+1zydN+PC3whIWl0IWquSOXRovW
9S1xhNmdnGn6USK0wQnruLsrFau7Eyk27dIDBDn03R2pqMr6UylgjkiuOvWJJ61FXBf3ngZ4EMDF
o5wDQyf++5mJGcsByfAGN1Mv4fexzuW7MJFBSwzhs20EYm+oBvLaebccsRTakt0el7NQK5w8YrZD
GEKGfhdqp2w6WmyJW8WqRi5RQ/Hy2R23o0Y+k1Kh38smT1F76bGt8/aqlPsARb4nPTaBXO4zJcpX
STq+j3aXbIl04neL1b3cmc3pl/HfJ+F7D63lfQGo6N0+hD3wkibM7XuS1TcMAf5N3WV8EZzzt9Zg
mgIomenQaLS+TNFpDjXQKCTbaevgWjMRhMimUIESmeZGDL78TGNkxRU5fE/nkZ5Bnsppktvp0hgp
dIjWDN5zSb6eLdEPeZz+/EqzZQofIpJYWxGiccITQQmZQXfXeE18iJNIdiS/7e6CgA0cgG0SNeZl
2QvRzK3FhPJx2TWsMbyOCTBJUwMt/Pw9/qdvKbRUdmQbhmmZKni05vFrkPf2yS6LEzbE+mYJPV0O
5SLDxM8Tyryub2SMeruhazZJ3onPzpuO/TmeuJdj5wk2kZbXhx68882XZ1z++nP3lRmjaKqFSxDN
oT57Ca2vhMKmKZgoiLBxK3pPU5MeOxPt2mKSseJu3H+WqJaJytVulfXiiUGVIGP0HQauF3hiAk+c
prztLkVuJpt4XlxGWXOy2ly6UQH53Ne9vloO01AmOMNIWONQU+y0TpY24djXz4K0CHluRgZ+903A
UD8ucGDhDck5yqwDZThwld4wkzPtwQOt2QHWwTzM/Lxc1KLrN1RQ7d5Ms2EbjWF+x89qHLPpCxx9
WnNVYMLzx2JijixutFLNmPN6YhX5gTgF84ZaXMZoGtrbnAwYcyJZTzbSH6mybhBN/VBA0ZJ9GTQP
nP7rP8Kn2/iPNwCaCApBXpam0B/8V+sbTRfNL4WK+EnVhLNMu5RU7p3V50plrLZBOPB7ziuYZdP3
VnTAGIw7UJ2uFL88GGZ1ZzCvo+1Tp8YxKILd58VCkh+qtuuuqizGjbM80soAPE/IesDQuyuIZN3V
8mg5G4bGY07vmi4GX6D16hujZ3ExfXM1itz7IZEQk2mJ/5woiI/Vrn4daJxf0qqNkPfYxQkSMZbi
pJutXVaMucLs7mOvt3dGZyLYUr21gLx2IOYOd4GZWcWBz8R+ecstm5LG2zYfy2SdQ6EJpLHGXctf
xQibD7+fmzOm+uqH+Zk6wV36vF3MUKUHlH1JwNIcx9II1xTP46vdBFBIslcwOTlpzYbfHZfSbfIz
aacWOtI9VIGBqyb4LxH+oFlE0lIkNKEwSALDMnAarT73g2Fq3TY36q0myQTrVb75I2wn+uldBX5V
DfdeRd+SdYnYNjENLapMyCV0lDNYBSumOv4pVGYRssSVfmjorResNQ/IcONtO4zyBjLw+AzW9Tkp
TO8a7RN9RL2+E8Q6XSINmI5u0WYIY+0JdYp+DPlDA2CmntAGBj/tGLTbBjzLdTdvBl2puZr5M0l+
Ppb32QFxdog9guS4rkx1CoFGeVh2S6X5uUvfbhsS9ASQP8wPEI7H55jwEzls1MfaaLTTAKfPXY5D
2cpXg9RfT/CuVh1mEXmboGlnqGGfKmsk2qrUKHxTpmSrsoIZpLXtjWROMqrHx7Is/Kc+GuKLrg8U
qJb02NedvcXZ68LaMlft/NKFie1Mihy/QG9HW8oyYGd1pvY4mtquTfzyNSiBaLDoJ6atJ5dnJJ8O
t9VVnkj9rkrS+NCHoj0lXk2S9pSn9IQszIe6F2zkKhGbKAiVnZGxXPi1lq9U89pSgNtY6TAQoSKG
k97a9sYHTHqNHlZfFQBs7nnDo+SIjOk58qcfSicP34Ze3eVVKwXOh1W2MoajptxFM7wpnYFOvzaF
GOUdNNXr5ZAtBwoYk/BiTxpV5rwppILLHM7rZW85Dl4r38ZW2zidV7+35eRfIHroj2BrXa8v2ns7
IUHaqOrNcnhKcxvGPnkGRCvWV2oaEm6eWuVe6vSZwMoiYRRes26aVkCpIdYRXYzmeFkPBC9LkBaG
DKSJXllJEZbm5VFY8eotj/x/Pvp1dhxk48pvEdxHRkhscD9YdD2R42NSjtbLrAkjJH705t8UBvbX
woDLJ0EnFubhOcZa+2pgKxgSI0MY6TiqRsMUhzkKAbDFnaD5wX+6yl9yy7/ydVE9Rz1RvcujYH6U
p+VarUxvu6SGkQjUTA6+IBIGMyY3YeDFa1n27lt0KAy8caC1mfWtNKCfL3YSEbmDpb0E9oSnDLLx
JZofSRT0O4L0Qmzu/c+uTt9ZYBTEWO7jWeHYktC27UKRrpbdeMYt6GI6DPorGWbFkycU62B4Bdyi
eReKlUmgF+IxiVnQdW02qTOaKWN/IZrsTYKqgCuxl8EpzAqkQsfpAfz2h68UL4aPjhoJCl7zQTHv
mtGK1oGw4ovR6hgk5k0vyacw7K19X1j9YXkk+cmArJ5jlLL956Pl2HLWlyTbrSD1rDLRZvjh5gQ6
IimZglPyQ78JrllFMsUehHhpIiNYWXTyjmEBqlPFUX6Sq/aFW21/7sy6u4+EGq4aOGS7Yd6VqQO2
+B5jdBLT81/fa8W/FFsIjZiJ0PrVhaaAnP5SbCEu6PHmKQ1XUn+TFhhrllBBVRjWrm7tPcuA+LQc
x4/5McC7PwxzKlpHcRKMg3Kz7Kn4QuPcOHkx2WBh90D5md6S0r33RGw8Wkh9z9gUGkJ1+IgyBrN2
Qm7ItrR8/05vzDOT2O9+kEbfa284ygZOG9/MYCAUknqUYcBcCVhOq5S+8aFQJkA6fpBMW1+HqZKD
UXjN6YY5xNEGZ0Otn3orHo+/NnrY/tw1i1FshjR+WU52bQmRT7FJtA2YCejUGbgT9XAHHdpYhxnB
jkqIcLLr7e46HAWyxCLOztSt4cnMsmyNP3U0W+/smfX2syWaJ9Y3GRP9xa69bI1+0mO8OoSPNuso
PSjJt6+iYLPMr320Vee0uQniAQDrzVJucLmySSG00xPCe++2VNpHLrW5I+TRPCzAD6OIcfNlvr0m
jY9b9bKf6LUNVSVlfCUrGabArqFjJu+1Ljc+Pp0USTChA6xM5VZWYA0BkV59TqtBWpe7EfNqpykf
ajzepnXXvxqRqoImUaV7WNLTakTcf93OoYVt2kjHEJL2fmS54lfesJPgSJ9wbGtn3bSrk555vJEG
nwCUuR8kd2VwVdAVXFpNYRLwhTn1wLx2+1zOlaI9BLlx7+fG+G/q6H/xEPHuNhHS0VBQDYS0X0H+
cUgJWIDTcCXR7GlEy3upyumiSZlxL2qhnWkqvOS1qd8T7qveSqmFb0sl3a5u/E1AW/Mm+p7qyL6m
uYVaIGqnKTq1dDxTM3AXMddyRu06cUK8km00Y/A3mYlQWxc0hMP58qaOBSDrdkg2jdqm9zqLfHfM
7Ua6awcKhTycXjOYZFcl3W3sF5F3yCimnZKp7V2o5vYm7ISOUzMZz1xqEPLGxL7HfJbWfR5yWZV1
gKxEA/vXGMqsOPbu0W3HV5DxyGFvlfSCI/2bGkfi0M1TloRAyzsMhdk6D7R4k0gfC14cw/ywkRqp
2KnMwi8ekcZO3n0sb8w69oeNEWbcv9PcwIHw+SV12wz8cu3LX1+VtC8UQYWOB3NIan8dG5gwvkog
VVm1sik0SANfEul7AWmuakVYXo+9WmxNEYrV0LfTmSuXetSoEQFTWsMjaTCPVDbGd0kDotkPycvy
1LSLeapNQEfbQE3Q7fiJ5mDziIrKWLdKJR+FEqhnicX1SvNF8SIU/yBEa3yPi+wpiHmqZ4w8NVXn
meV4Q5r3A9V8cKlTRXn45x6sFHXZQ3zR/hscMnPWL20xDUIEUitbV3lxFCiLf26L1bk5mEALGRtV
diSDfo+QzJhRRsRmIoFrseWPQXijtBeBrezaoL9SJZVLqzl1K4NwZ7fzY31apVGi7hgzKAbpkAqs
bUYbzLfnTWSxjmRdsV32APkWIAnFOAKwSV4YQOG3+nXs8+HyTKXLph0umv0058ZVfbTTVAh4ouk6
Qh5D8lRDe/rxJVpdjizYDD2at18nKkkJ4b1oGrpl9UiHnQJAK8IdNz5jvewGrB+BEsXjRffl4i5J
N7X/NNgm/WTitRxpFkEtmzQrJtfm4upQb6QPeU6qaKL0+qGBl/ecNKfYg+3Q9VJ88pQMUbkMuqak
vbTtTeZKRMoh3qbrcx6zKnFBPFl0imfCg15XN3HLWK5Dy7TsLfk+OiQGYP/EjBdhSG4B40fGGaXr
xdNEBEsYPvRmu5VKa3ws2tSh7QjHRpCCYIhU3rOWG3Y4JtA7Eg8cD17xHnFPhddgWJe48sN9G7bJ
eikIK5lu0VZD47YStXlr7OVFKiDlZn+QVG5pnyOqEZHpOk9n/ClZoR5Mf60iJJWLlDebMIoz6pD5
kuXdcEP1bhiup7vGGAJ3OSbhNXS1plX2cZu1ZIhXr1JHTteWGNVxtSTJfi4PqzlUVuUWeUiRuFqa
VLmMLXAStWOrHgE3lxXCm/krxVi8/yI8h0p3M1UJ/ALZZIgQ9Wq09SCe5JcxiUIHU/k0c5vNkyai
5JZwhreF6lYNkwNMMpwebWw4jlQoGtQLp49JGlqYW20yp1gso8NBI75zUVksG8MwQX7QIflUXvw6
sYTWwRGaDnoU7CdLP+pRe+jz0QYy6qUac1ZI86u60oYtmGv0bmgi6qw+yX6lvmmRuWn5c761rVe5
swzkplDoD0UR61kI4eGtH0verlTI6vkV+lLOuC6THt2u0uSrKY+aw9IoCLP8po0a5WrZizxmpxIt
7N3nSaMtHcNqPmIjqi9YE7WTaCZElX1ZB0CDiRw2+zbZZPETAlP95DUjgv0k/eRQl2n0Eda9sl+W
5ssiPUNnEIO9PdHVb9a1WpvrLrbMa32IjZUuy9QpU2Jee2ZvXsdIU3ZYHHrosv84NrTKeG5HBpGM
oT7bwlJ+kqRg1Uv0tdDfB6tMKXkUWuHPR/MxP5tlz/Uk74ljpcZYBEGyaGI3l/p+vexaltgZwFZ3
daUyG1sigZaNPM8woqY9EmCR7FHiXIW9AuHofygsl2NjPJGYqPkPOZcnCjyYXv3QpPrJqNNwH3Xm
xgiaYHC8OSWuUrXXEmjudtkzUZGcVUb3x8/FkiRJ/i4L8xmCLquPkt//fLQcy1piV8peO5pz/NaS
wbVs6KJBRq3iAEwPg0ezunjL8LtC4vDZtvvr26c1N4z/1D+b50KMTuY2MfdK8UXHYzBUCCNbFK7J
kGglVxljS2VigJ0i5lvEMssumngWOqqRMleLvFkGPhXndki50uKbS61BcrAZZ9dRWqAg81AJCrnK
j6MwbIe2RecYXdPfBxPGP7SJ4TkxGFnTPW3xUqTNQWmKH/T4BrfxR+0F0McVVaX2AaGWicWiXOFb
pFIIR9Lqd0E9eTe81Zmc2dYJz7Z0gz/ZuymyMd31+CHdZddSmpR1o1wffgZLeOMsOS6PP3dLECOy
UXweU6WxP7Y+IZxqWqorrTSxL/Y4Tsw5fVzJrR9BOvS3U3MKzFz+SGzlsYP19MJsoAJbTRAGpvJo
E9MtONtT81hFkurmQSheFAI36ZW+SI1e762+z1lKcVgi+oV+y3hLmMlwKGn4McPS6fwEEXdpHGnJ
9Lj8rf/z2/Bf/o/8+vOvWv/9v9n/lhdc2Pyg+bL793P4rcrr/KP57/nL/vm0P3/R37c/8qu39Ef9
9Ul/+hq+9c8fvXpr3v60s86QR4037Y9qvP1Rt0mzfH9+yfmZ/68n/+PH8l3ux+LH3377ljPZmL8b
3cnst5+n9t//9pvQmIf95x+//8+T83/gb7+d2uFH+t5W/r98zY+3uvnbb8bvOtQUA5QQ615z5g/8
9h/9j/mM/rupEjxj828OrzPmNVaWV03AKfl33ow26yuUgoqt2PwKDInmU5r9u0bX1+SeD5JFwTD8
2z9+tz/9gX79wf4ja9PrPMyamm/81TUpE4yFwE418E4iAhXyl4/nWGBfVVu6S7Q/YevGRrdS8L00
KXGDmHKOoUISd5T3XItZo6V0mde5/TQUPXGHlQdytAgnFzLzWqsmyZk8otxi1f4GXOspEPCgWO2m
69rDKtDWCWJX27vy+mozeLK+Yh0EAH2K+LQryXtr1jd9TLSzVAEhBci/ws6Djm94qVATlIX8nSVg
5VbkFY0ghPpmEyDL3eA7+Mhk8uHbaWfFTb4WARKiUh1OnWa9M0dg3S4Q6LCsKBJtZQQ9YTT+HEwa
1g+1Sb4t43cXcxYYc69Ya+24qhLv2mxTko2QSQOyuBja+ELs9BUtz73ZZttI1Xeozs5DZhykyc4u
jUfUF0AIrISd7FL8vLT0qVdj2ruU3kOmjhDBJSQa3FIp5mtEytKt3eKMsvN+hbCWgFlfpjGXKhRn
EAMcbzTdocA/xeTmuxiA6Fu+IMSNQZjLoPXdRy7uyJ5s72Ipf297VjaWGqtkGOIC9vWcG70eOOoH
mQObXK7u7VF+D1Rcd1UDwkOJb9SBRaho3Z6e/qa1Dc3tSAZzpbnBPKEpdJra/068aL1m9Z6TwoyC
vap8V0tH2Ab9KYmuypjwGzvTnhNUjWEaXHW0w/k9aUVowQei43fft3HgS5cOV3wclvfEU6MjFP09
XEyorn4MyJ+LvWR2Piw1cmQU/qN9DUsMxSHj4ek7nJ9LqNU0jEmSmfDQK6AvVJMXMAX+xNjsrSII
4LsNVcatC5S9pnmPOfG7lA+y28p9ucEl8RRq1dtoS7w8ZnHd+oRlWAW+Ol3iPZ+y5DxnmETBgVra
LWUPAU6AkDepDoYfkjlLF7CWeNAoHwqWCr0JEishFxgTSjlY9HosDWEsSdyuXqlOociROxUVfMey
S53JFGsDDJfJay5LryJ+VlLUOVMzPQpLlRh6q2Ll0fSutL3f22vLCw/hOPYr3BO37SB0B0lq7CPM
xsKSIp5HNm139OrkfstMUjh+17ROBWVtYOagF9WjOqL56brAcKJvWTHemAoBLnb5QHdvbvuxrK+B
7sut/mi0+b3ceZabqt6BfLyTNcS3SdA9Kir6t14rV1J13xcnKwjXWvxNR87udp3mo2Y4AQJVHcUL
S0dTjHOX1U9WRwmYlo+20sD7HoUTSnOv1fcdCAjIxkT3pEv8mdCmrDWlvKsFNsKx7qCY0DkP4vaU
DeUBb9J7VhQUVu20KTIV0ym/dmQlb6Lqrj2ZqCXVLl9qAhAG9VTS0EkAnaLT4PaWxN/UlOqMXlrt
CKt59UV04OVZTXr4FhOhgbIxGArPJUiELr9P+knbqAiY/bFxMlu8V7Nb1EoVd4i1tYTcVPfrHHYs
YRVdSeh1hHyyzVwypb7Rhyex2B5kCtewWo+mwecOgSK4m+dKyZQ1jNQznmzlKPoaAHsoXK0rV0Yz
Pvs9Ke3+EJ9yzXOMGvUerAfs46zMpih4Cmr8jPBY6rVNKxZC4CHEVQVAp4jS7hpb0kYHEb3rJMGi
B/0e4i2uI+N0GvFh01oLeYFCHzaCjtmo16it/OAipCreRawhnZL3H+j045ziQ+CPRqbHoPM5ThLe
7gG8tj2aRVYJQ/osnUM+Do5Fq9gpISR1Qf/R9IKI+X6ehRolkXcDbQrPWyUM2QhzODC8oJFohpuG
AU2KzWZg6OJidZn5L4YCXabZiSnfqlV9wMhygzEZ9Sx/j7zPrVVTfECO2NlIx1xrGos1un837KzX
WtZfYt9/575z8szwJp9puBAT72GSknjOGhGeuVcYTqhqm3giRUWV09ZpvGInyUSWxRVhHxOiEIcG
21Eqctb5peG54FyjExCmDT+Lqh0oaIvCpjTku8w27BXpITAVcvlJVOqW9fZVg39FTQVAvNhGnmWy
4KJBRy7VtRFFzHNKD4ae7N1iM0WOOL2N0XBP84YUxVCo7oBDYpVFyXOo98kKHwKUqZEgLmXywC12
WyMux/V85UI4Umxy3ZpcL/RGJgtx6lohMhIuytJOL8OTFjO4ZOKw9whMLsZyWgH2pwZVYxAYLa7v
sCU2saDewjuN/5Y4BvJ8DkHV04pJTeugqkRlpaTbWqmVMirJKxc4KGIbdLtR2icXKWGcNrE6WQmB
ERx2l9Nh2JbV6FzJLU1Dqzy0akw1UQTZyvdTt7vxrPCa0UFEMmbxItvGE3zNcFVmtY+DK9krhf3B
reAKZS3BGPm9l07IezL8VEMiGldoHSI9+42K7GJgr76obRU95sg7W6m91j3v+xRZN02srO2p3TIL
wq7XRs+Q58FV+V5DnuD0YCZe5YzFvqdESFi0gDnkTsrS2dEL9VtYawLncLb2pYaEO729nVASbLxm
OqIoW6ViuNgD6lKuWmsYWx95EueOlVTEoIYQ46Uq1LeK6X2DdKOvyrjLXXN8y1uROAIR9S4KPnTf
fy6gIEad8ehL6sBtuTt7INmBPJxyMDDoulOM1HZNils7OpkMcj4y+tukVT47zv+r9fj/Tyttm1jn
//tKm+Xtjz+vzOfnf66yFe13tPpMGg2dpbbO1OMfq2zBmXmUZGP60TVBA/fXKlv73YJmOMfqQrsl
CZIm5q9VNit2rDq2qVms2fmq/8Uq28Ra9ecqmDYAsipBeC/0ZANhz2zG+kP+kym4CCP1YZnkNRdp
aI5xhWLQko+kLnQFaB2Nak5RR3i65sZT6kPCukLEwdpUg63wI7etvjdRu1JJso6VyJV0pox55ngG
rTp4oF3yEhlnfwAvsYcZ6kTcqVVCaOVKRhq+y2J1NU6vpnjTpCvPgCUCPn1E5ETlgiggdKOWq17z
VsxCR9LHxKi8pc/0c7g/z3dNy+k1Zqs1VwZv3XHH7MbHABmOD8037vY1P4ExoUQAHXOsVZS+Do3q
tuq4sYrbokRfHN2+pv49NSU3k7Ni34UZYvWjOsYOyWKMGUy3sG6y+irtHTStFCNbYBSuUKDGKdHK
xoZc3Oj5ziQgUDJX2KscT3rNkrMNs8WPi1XQMO80RwIJnsGAOEqLouTW1mIHpQueB8GAPdp47Y7Y
z1Wu1wcKCYVoJg8wELJ4p4X4Im1Lropk6JbJvpZfYvMYxcFKVLcFsbx9RJ2gpjgED534MOtdkyGw
LYYfHdYHWtu3bcxQJDgHFUuBFoVjTeGoM79ZxViYuikDUQqHQmu3vic7g+YyAd10hC2CnGpYQUWr
iIFWihy9MsElvyh+7ZpMLAE59d5KtTZNWB8V89wp5O5oT2H6Da2qU3cH3UxWoY2fKJ92qdRfSmkf
Ml3TVROJA4ZriKbNYO8nIlnqgBniKJNyO5uCZ7cIvWFZWXtVclaUm5TuSGENK3RglQx0SpNpVSDp
w/GcBORIW9EKP6J618NmMRJrD8fFrfCZaSjkM5zKtDVQ258tg+hh2tvptOr07my3EuA/vJRKzzqK
moe5B1kYdZmy4jsBX2skp4z2AqZ9ZN3b9mpQHyibr7ugvZnUi416KCgyVw54qdrLUJ3g1F1PkKGp
8lARp+upvIDDoWvHZHgCQc+lmvSTfVHl37tgg2pxtE6oUiLvJghXjJWrai81W9V61chIJTmtywZa
kiO9bmIjaPZanX0romY9kFwyKvRWIxidyYMV86aJwdYPQIcnxE14iilk3dyWjnKG8gK2bZgnNFeq
daYygS/9vfR/KDqP3daVLIp+EQHmMGVSsi3Lcp4QTpfFnIvh6+/SoNGT1w9tiqw6Z8ds37fi0egn
XN0EX9pLqN5kiSu9Y+mXY+yQmw474nbvqSHu3Ne8M3yzrdD4kTRv0RLZvG62E3XUNROh8eGmyYNY
FnjglpeX77WZbnfJqcyoEdS/eqJ/sAuU/BvXx7mf6QAp4q7TdrQ0nNy+2llmYGsKNzzMgTBIsO47
hqyo9ogudk9D2+3HeX6ex19j4Nasl73M3lyqW2Ggd44odo3TvylmRb0OLZwqVfFapCzU3H6ZXn2n
ds/TsHPz2c8oOgNMD7AGfebFcWx/xPaNIyTAqO5bCa+e910al20tnyTr0kopFNV9KPro/W1eEqpQ
yIonGNI8zRm5K6pzLODl3c2f6j5uibgVlr4v6wFJm0nRj3JetXs3L1x+gv5YNtkuq/5JTiIi54g3
PqpLEdWVHiMpOxTt90BQ261HinCvcDFlZGneMZUv5IocdTGGqn7J1c73jHNli3hB8rtNG1Gx5dHk
uEj7bic34z4ZnFiFVWXWP2RoV7G99zqla0U25/6SDXt6wr/zagon530TdnPXD7OLrkx8SXT/OcKW
XBKhgM8cBaPj1aQI2XwuYzHFVI8kvkMUmD8YrSDhl0F76NnkqdYJaZo8kr0HfThXD6ZlP89L2+60
xLB9qyFZqS8OdatlLBouFUHbr7mVLMwrYRSepfT3zVFRUJoQSvKOROFHQoD7eAlQTy3OUbeyVx1v
9y5PlR9P2CcC0iiRVvTTYCcvFUayXe3c4sR6grlrC/BBVodVua5FngUELsvIRRWBrjnWJb08Zcs4
ZQ7GGtkZB/mSd7HqTn/owFloK/aN1iqWQ+GR4WJ72RVK99Jlku/DGINkkNC6bH2ezqREmvCH08G0
Gapb8Hdm/9L8Bnswh6OsK9o0qK0OKmlPU9sWpB5JbGWyTAfq0bIbfkO0EpI64S+t1dz4chkj4CIw
5qLTXx4JFAxVcxQ1Ea8OjQtWX2mh6LJ/YDQTfF+EPLcMl5I61s7O/4ZoHXmCHTxgs06TT+xBFnTk
kfvjuBustzH5WDRD912yZqe5fDQThUwqs0j23tL/rpHTKyIicOZxWxeo0pVKylHiBMuxSbld96Nn
4wV5zbegLvXiWdzgfYHZcurh8WZnmY5Tq/4tGrcebjLRJhhEVXatEbLEoUeEEjKrRPA+dc4/DjcI
Gq13D262cb4JRsysc56mvnzwNA575mdfL8fprCWosozhvlRLKmx1CknLCiF9sybUX2xT1C/eS7HU
3bF01s9czt86kU5E77j8sNIOWnTS7lihJaYv+vZm9BjuE77osXodEmpm1EILrc59Ehj3l5wvwBs4
xJD5Lipn8kiq7Z65+GzBiNi5Kd66agwrvRGh3OhFlbl0X5AxuazpfB8AXAeoBjYMdTrlWQnh5Oqv
qeNQw5g5yT6ROQfg+NNV6XQEx/AHHg7AZZ0fb/XkKd3AWtG/kmdR3otOe5tJ8ggx5zIzaNWhHPpu
P0fdSmMfOWVbIHQ5hrNt0uW6lA9chg/JbZ1Ottx6yDVSwd2bj5UBiZaHL1ZKGbhu82shMYxmgvH8
iXcUd3LQW14a1aK5MwwqYe2S9uexMOazWpnXFawOpWPLDWJwveDehbZcswPmw6uJzm2X01S1Uzvz
4aaY1tWZGL28VcORrdifKfs5WqthoieAs6I3aY+3Kz3AnUD45hjH1T6Td0mevtoYR3zU33j1ufJI
XNvkjEsoJ9ycf5gb1ZVxPhJxwV/HDNg1R/66PM6dX2/Tr+as2oGZV6iz5HhnKcYYD958hwdEYvXv
DiriQQLdnovc++on90E3Ca7tycYeh9AY8yYmdDbX9+ZwZNUNSQUE2iQAg8tI12kggOgsgZTvauPg
6uluyd1A7ym5UcjQy8LUDbtkCKY0LqUgpGiD0P/a2mgmcW86D90WGLXqV5yY1uzQLNqh+TuW4lNo
P3ZzMrQ/wzt7YtczNJT8BWK4utVVyYCPbevcDzp/5LlKD2lNdIGyU4p/dv5QjO1DJdF9MC8NhU9d
VDjZj1KDtU/DthWHsjm2aR1L95qAkM51vael1Mcx/EU2CuE1y1ECFOvGHBZ1gqYU4653wi75WY/V
l4Jf0ap4eQvQV9NnH4016TJTYBDW3vrsYy2LuOLXk6B722lQcO7x+8omPRXdEyO0M/dvtEdQm77F
iv3Z4pJK7IdOG47Yd/tHwiefoTODjrdfrY5GByxGobjsn0R+XiD3Sbq1kSww55DPA5EtlHDkZ5eM
VNI0GYkfp0mNbXMJh1ncObMR4XvQtqemLvzZ0SOk1idTPdla82xqoDG4+B/XtImEqaKmfLDoRRm6
Dw9lgQr0kePk86zdpnhHtV+BJ9eHXJn8TLsbKmVPaJzO7NPsWt1He/su0e8ujBMkgPUa44SnnWR9
PDBrL+7ebEckjOgr+YZqbwv75F6QxFdtZxoA9tLaotQ56BgWFof3dfP7ylfYK2hb9FVeKuTzrnpR
izaawEkSqYe9/SOK2JhIHuG3KpeRDYZqa3w9y28xWP5Nco7Y1xfTH4md/rqxJPVldEPNbGcObZPu
yijvT2n6JW/UxqPaUqnI2FneS1IEXbO5R8dS2G/DDpsJo81lE0+Icf1pelF0y681i1MOWY8SpEz8
sHtRyVWXANDQtnAosxyNZhJs2bmjA6zBMIBj9GE1w4yMqMJx9wNINcdT66tOehYVj7eFNDYdICjC
CSbp+dzLYY5cZyhVv0lsqAUXI9qBQozHbDb9nLDRWrcYU+0I77LP6JKRXALR6RqIcx+15rE1ue2U
RzV9ck1kpDarlnoQHrCxdudlH/pC009GB6ax8yojUO38OC9mKImGHQo37OdfOwO5s4Oqv7ggcySv
+HnyWYgi1HmerTNjjh+YeilQ2Wj9BITHSY1sr32SxXol5kKaC3Fk7IbC2dc0j+ZGTZ2ziBQMma1J
nTbha0RlugSuGcvJUE43urQTpA+N79xe/rRuqJ8fC5r51vFBuAcTrFfJ7WOpGkeaQPgYUYwHhexD
7M5BVeX7rHpfSfjR6EF1D41zyaYl7BqM3uknAVaHbrZObfI15V7Atints9En/P9T01hzXjow9lF2
pFp6h04Xpp/x1roNv8C71csX0+RucIy4Wc+6NofrqviGLs41YVQt60VhYOg340m9TzsWQjgdZdtN
dhUm7j6T8ll3nhcmH0MgYkbMa9h7Y8opYbotDeBUs3kgbGlt6+ehysMyT/3SZBuF4xocYu/79joq
5nOSaLts+15o9NXZ4JeYzEvebi2ulxMu4cDQXhNOCVOQRzQOvEQOEn57XwBJUDkTLsupUslJlE/r
iDBV+YE2ikjd5aseklCwwVJttQf/DWsgiCTbtxq97ChUerskNrcU5xRbTe1Wj4vJbSvA5hus6h+z
6+7stD0ofANdqp+rmSa9jKNdS52ISvo7pImn5WBweBFZkOrXzsVciMPCGe62LaH5zGabeGmXFYEl
2lDLutMPvd3vPJM8LczoRALR0qMEJTt8JSdWyObKsUB19nCtNxwVmI+qoYpZUV7J0j2Ydn9puZgN
t7ujrjpMC/T5DJQ3+UETdmkbWE+W82wNY0ClIKUpOlXpa/Hu5empFP15KmL6tYKBKOKkmFCdc+s2
+sVRSRltd+qaEGiCeDhzTBrKePTmuRfKvcPZqKVmXCvOyM643kviftOF3lTTw/6eR44aZJb1slgE
RFRwQNSrMiKhPquM34VqaWfiJx5edZgDK+1ORKn+rq4SLfRfNbV7QWN0oarTr6omUtyPXL2kXh9Z
ze9iP6PtJnnpmLsEGKsvdgKN2II7mJz2HufGENDgHuOmrgOC/i8yM0/a+q+TVqyngBZsCfRc/bS5
Gblrc2hHWKpJ9LHtMMjSC+4usG79FBFrdS9wkUhKFUUxxIOFf51QLJXAkRTDUEa1bN+DSMh3esbP
m7Wj4HG3eNAkNcwyJU8WsfnSOZBxFBrmU1btVYT29u113x4UFqaRmUMaZZSYx7JWw1cNK3Wh17FW
f+SeQjJB+0BaDLPv3+K9raV6SlUjkFQkgRzV7bkx5riiCY5gKhvJ/czKBsVSFvixPQg74w44JezU
eyD6wmVcLd0oq77VOomob7hTTOsD+eNDAktaOOlF3G4y+NTMeFK7W/+6+bBZe8vh6oSUs/QqcEoW
09S5QVMHq75X//WM2BmU8MyYkVblHsysI6K7nI630J9ejTWr3zeCp1CgbKM63SCuwiPF3Ulm+NyF
HiqPm4jA2uFBcS82B6AZoIcg9/+9yfY4eWmgwr8lkP03ZpjfEjVvHnWsqq24JOujIXoOWA5X49xa
1amp9Wszsys+Gltzbcl1yI9NNYR8FXxyTxkt0gvl5bL/JgT0GZKPwEUUeq3BqPiP4tO0vaXpr9/U
lPJGJGFC10CW3oqzq1jR9WvWvXCP9vlbQoiv8y3GB8d7rvQ52taVoCztWE0Hr6p2wGt2F2rK+9aJ
NwpAmJAa7potxCu+T40mXrcylNUQ10bYaceZpORbS4h3pQoYrYOrxTbPXxDtk9yZj/ZwbrbbojnC
wgOPVrekvmO/Uj8I3DHMdejO9m7lb9ScYt9meFPEvK+sB+xifGXzHjEjGw8bqcxJ8CDbs9GPRmzC
v+EkA5kYCw4PKrVbkSHqgfJIHqtJ9y/wt7uSso+2fR7JDs3bLuy3gi6xq6qfXDHFaf7uZWa0bPph
mOa4NYaDk033fA0ID39Tj5HNJNuQj3Pr+Q/nIOZeX6sPTc6PMnCwEHpOZxCTV7wNl0U3AZSZCe3O
l8WlSJZYZ1SpVe+nmIzQGkTQtHDEVhFvcF5JFtGA+9OJf2WhRLpBQZsTUb6Y9yy3g8Qhe6Jf/ER4
ItzS85D9qeoU8Ln5ydKzraPawy6wyCRCmOxTqLcMnDyi9slS4opAa2B/ONZKtxYYAMcq7pdwLFvW
6XOR9vvVcvlLiCEDk1jX/PK0oddHOxGlawNMxg605qz+JfbY6ViV4JzFOTeaYCE6hyKLIOdza0Rz
Wcf+yYbFNVlJ6Tl/SEl0+hnHLYH9ggqsh9ibYVSZh3rVdziOChd1wR95Ph7X0kBHqmrEYEPMrMMB
njueNCWA2KeGM07ZlT0QgKkELKXAaCh32VxEFlRey4yTMsTVZ6uxUQGcIEhJ7b6v9ZpM8fO8Umdc
0K/GP+wh9I6lB5rXAauYY9QD/5ikO1t0aBaIWQq5z/mDh/lEGhNZWP1eujUBRQ8tThMhQCHdX2S9
/oqxTdYzCDQdbtW6629TVPuvXN4GsUFOUQov9RihTZiXTHNetndvhnfUJnylk6JH/YjJQ35svMv9
+lP0XoR8bS/1r1Qj7ibdQKYosuv2ZN453NXkWFU7o1SoPnhTrJ2B3DOHJGh5DEt7P28qIFwX1HM8
S1ozs/F+yc/Z+kXhGHUKqX8DfT2N48LlvOFUl0nF9F2wtR9rWG633GvW/Uw0fboe5/FuU0hjd97R
g/rwZeGteqbEdn6AqAQJJmZ1wYNAcO30ms8Uz6DqIV63YsTomlNr3+vlyqPjCnbP6oosxDq6TNLt
SOGH+QrjmFjUJCAzHGviFD9b6QUl/9/U7KEkd7lOe/gR6WvVvb2dVUllU4kvkamy/DGz121eD44x
79cxCcTERzBMH4Z3STfVJwk5YpVhmNmVtuPnsoeNvcuzQ6FSYtlSgXrY1HW/lKk/ASkiU6PEWjlU
9ytlHQYq4dW+SuvYAs+m0IqdeupQkfRNYHL6t8fRZhLPfyhtCYs8/TXGv9J7HlijpuqpndddqX2J
7rr137NH81nBIKQZkQmshlqD3Ih3mwiukXpSYqk7cYvPi7OhIXUOZT++tVxR7tYELcMAw6q7yEtC
QhX80QGpca/j3CFLEDrnXsZ7V4XpZgXg4sK6N2BEc9z35faHsS4wzDVYtS8KZ3G8xykk6ER7mdWF
nS7JBUheRuKEa6eNpDZ+NsyiN7hXQYID+rltV4tza3Jpc3N+ao5xY3QDRQcGUNfdhgnKLsrbj4/W
vLhmjnXMte4goc2QywjmrhQteDJCT8+xJ75oUyCaCQAnwkUc61oLTbFRVx9iBe3dJZrSxW8hlOns
wZ7wi/ok8tz6NCr3bfe8MMmQ6B+Sm87z+VRIJyOv13DbGGBoZUSV6+NgEG2u9vSUoX1qOcOc7k1a
t819CKW2nHC93K9EHFUe7E11Xl167ccOBcvk01HhU32yB2CcvMCkIMMqWmp40L5qH0IszGlXUdy7
WhpsVfY68i45N+1FfWm1x7p9Npdv2TWHwW3BTNawozhKg53p01NtNoEy/mvbaKXH3QfkuYP7RPt0
SeaKHzGP7HT2Faxb2vq+ybfVCS1nr70nE7HYPoECkW3VO4lumaCP8n3rzyQZgh3o/mbKl4KduiDb
t8UUqXUQ+ct2nM03e3SivkB9M7lP6fY1V3xcjXtqCB6Wt64FIth7bcSEDBWp8sTRD7U0TIiWvAd0
9O7af1AJ8FoK0DGbO52GqLke9h1gUOp5ANsfZBuECVa+lau2RXftUi3WLN8b66KZv67zGfUCEuGQ
QM5jR99wUo6+170ZOSyUXX7MAHOO8NA0yDs3Xf1RDtfS0k5M6UcyokGobDXWKajRywfXyY+p6qBn
zw6jdaeMJ89NXyUzv8W5aCZvPSvBtPS7oqPMoc55+j2XdhotTg3OrTxbrN45VSY5dYXEVLFVhnWV
v5gwcQ3FUpODYJvuklGfd1gj8uLZbZtooIaJ7S8mNTIosFctCanOvfssarppqBYWanXSgL01r8Aw
8W4uggFS7GfHJX6wuLPsyzayATfAlyx/OMhjkSph7T7bXhLl1Ip3b1Nuv6z98jNVm+891JoZGCj7
B/tkEK8CwBpKeWzH01Y5wNRon/QXJ6MDY3zxTmMrzpNoY7171FWC1eyT7Gb0L9DbyRXdZKYJ8iiN
l2SrNd+Sgq+SgQ4wGCeXM5xpd9uJjcwoKd+QgvjWYF/mvoodeDDi+Q6rZiA52sK2+x2GPOrd4dSz
+2x9fhrtULg352N+EiZ08u34x+FLDIS10BsvA2+9w7V4sKzRn3NBXi9YdsfXJXeAmwd+BzL9pdGz
jMjjzdWTah9chHv5w0lgD0/pdKduu0xS1POcmVdskly4mvzlJlbEuchend4Mezfeure8vLj547pW
wfhYNfqps/35qR33qTiMXjy8EK5WyHu8AyQm5Ks/oPXsyPR1wT/sr67cfm7dUYvCZCfMeNCNQBsH
DFUWOxHamXUCCycCTWnJ117/Ks082lm315ohRo72lneL3zA7wdwB6TqX2X0cATgq+7pV00m5dZ90
8cz5Pm75fX3TEbTrU4aAoBvyL3JqUUE1MbYNrNiYMElakYoO/vhAU3N0Iz6arYiXuY5ymPhOtoeC
YQPe8KhCOHTcsLrFGEWhRe9ea16MtIEhT8ldhtTlgq/7ZVeSc03U7n4gdM1IPigosckDKjd6kFmc
B12844iLtsEJaSf/cjSOARxJiX2XERwtwORmKsaqZQLUe6QC4St1ropXP5n6xRzvzNklfJfSzgbk
09ZBc9/Im2QiIAxrixE9PzkTxX6081nOt67tJ9D6keqZIflT13em+ajKnTej6YJU+1SbzB+mL32W
VHei1yUklcznongY83PNIqBzRjm8eFvSkI2hBQ7q3Azxjt7On23xZRM5Kcppp7Wc9d5IX8W4I+8I
db670oSZfkjTAe246TF0fhXydF8azQ0G5AERwdkwW2Wgrny7+in7dJLmnDUMLGqAOfChqb4b66Oe
PX+sxB/qv7gmCslLZZDN35ZyREocCv1VOOr92CS7kXdb0f9m70Fs2hvTN/ISwo6V7NfBuOVKnJOQ
tEoOpInUsEc1O5hjiHD6OCo7Eg8AhIsA6dZr7byk1b+aXKc+OVfAYcUttB014MotaRYymkuy6KuB
3fwJx2yIPBPx8KHHuaVVVdATY6yWG8K7H7cdHtzZ29mJeG6s9Yj8/eCR+aRO9H28rHkKdACWwmw3
e2929c+qeQZHN3PjHAx4KOOkJi+L27UDVjNLCM3E7w3UHczaqFUiUyjPKDE4ATgi+VlY52aismx6
YCeWWkcLp9Lez+WD0zYr53q+F6UI9Wk5ONgz01LuyYa4Dk3glvOjHJUfffSizpmOJLODZo67sS1J
g7/Zn0H7IFrHqo9SNzJHJ1bq8ln2+Z8j0C2z2FdrFVvbXyl3ovvIHfLiXHlWB8Mf2j+9J7ic3cCF
MhrN5aygHbXdV4sq6LQI0jLxW0QXddfdG17ytuqEcpjxreSN/+GppedpdPkr3qbt+bYwQMl/jDbP
rlj3ju5NvF8S0At5mWCr/8cYta90OlE8I847P3mabtHiidkeLO9X20ZcNhmC8AEl0pEM3f3cDi9F
DVqF+CCf3kpSQ4pG+XPoEQ5c79q0kEyIm8mLJJ9fPTfzvmHcMJN8ZHRATTh0u3GhaQOnF8D7SbOU
J7K1D0PfHPDIB6nO6Agm0LTk1E47dZgf6Mk+zOJs/DaAvrQxfDlQHjwWG5FgzwSua1f6dE8oAu66
qf+31DHxGEGy2bvWNQ/4dOLWmnepK06NDdpD44Fo74Ukc52yNjoHW80B+IeXtGb7YEwJcpZTs5o+
UQ1x0rhHb9FC1eGksTwZZpPjawNsLLWdQXNLLevHq7tMP0YyhqfC7g+0YqHCfdp6LpiyBsnrLg7X
2moAyc/fCZU3JBycZgBCuIUnryD4biWX1e19D+HHVE1P6EWiXq92KqOEQfiKYtmBDkit6Nr7SOFA
zqWlKRtKeYMMAdQ6ivoFIRBWiRMyfR5atEOwk0GZXOaZiousfRy1/s5x0GWp2mGSAxvFhzsPgPg2
cSp9I/l3I4Vcmz2BAyiSkijNWLjLJrIK+yKnKXZ0YjZRbiSPnSL9lYEZiZK8FsL76F2sjNzp3Uye
rAnuhj5rmqMs/RUYMQde/kZTkRrrUWeekJX6tYIPUB8/l4pC5uGlZ9jMcuOQ+h1HwLRXLFjmJLJh
57b1b9l+ES8fmJhCgh5iMsPgWxEkF7L+M8UN9x6PtT4cBkayWwRn58/98FrfvjzBUDdg8nX+uciX
6mbZ9esWNiiPaiJ87B6hL+Kg0nGCTeqviPxCI3HDpS75PD3nUZOSOihm0N3MapI04+eIzwVDb2iP
UK35rqVBPB9LWL0Pd+Ru6gGjU7S3slZIGooXMIuKSQCiZObloLNwVBCID5dxFPfFuoQJz9004X1Z
rgfQFqQWCXHVWVpFrZthOuv2yo2ES+mwAERvikebQJJuneOif7DM7WShOkN5ceKBPGgJL/dKHoni
4+c4p/gQSUBLZuekI/S29HSveei7BpTsQPTgITgVULwRO2hqXJ5k2fWNTVhFfUaIH/bfLi/khDLw
RhWBtCMLat7r5pVgxTOh0FzuwArZfGmzMprRb3mO+1SzmycFSDObYU3sHC1VfQofKn2n3w6kxPPc
22s+Ee/Y1AAIH6b5kW0Mog6rCL6VmVdqo8xKP0EyvDoMv710wObuC4cqj0k+t2N97K3kRzf5iht6
szJTPimF8aEPjEpGbe+whQLZqFG/0kszFrtuUh6WlamI/kdsRns1U32dWcmfU5U4DD00NR68zhYO
ftHpsdNuwBrd/JC5q28sBkmzgDmuiAu2yDyuR5dJvABDSH6zZIorlrKySF+U0gs6Z0P90oaPHf0i
rSDYYNyO+fZbIGBbBhmMjfGe5AcJv7Wab6by1wKkLCgYvfrd1Vb6EG5VD7+rsTN0tgNxHrk/cQuS
pI6ITn9WFm2/tgZ4fnZpU3PvENjlBGNmB15DK0U6BeRr+Do6urG616QR2ILQ6YLiKrRxZno1rM+t
PlSqjLuJ/64kyrzv1rvqubJvLQsTErl1Iy0j9Fw/6cvXXAMKmVHusXeY+JR4srOG4MsYLtPm/jkV
QAo3A6PsuPCR1F+NMNjyrauo5pNQ8L0M+X2TKdEtAWFFpi4h1Q3CSFc5fJNz8aFVmq/Nmm8qDQSM
TaBbE2pMgo6HjP5+aWbWAYQiHGbtNl6w7r4Km1PfMS2QHu1uziQFtemIlM/7mx3x0QOtNxahS5kx
3ePPukyrZE9YPjfE4d3w3VQpo1R9C517Koz+gQPVsq6qQsb2oOlY4Ec0KjJ5L00tEHyaBGiatMX1
qSRSbH2ctu7aNYIIB4Nmch19gHq6yRldYsBHYovUHwle25MItpVfw7LlPrlwY1C0N7y756aJTSa1
RqvuZKFXkbJZ5hvg7qNtTdmpEGq62yTLq72or7Nn/hLHdTcK8SGHtHlz04UYWOe19qhFbxWr26tC
gN7e2qdye90l/Qo2Wg/+TUiVPlkK7ai+zuDLR8yM4Dc9cUrqDDPaishw5qBGDiqN0fqcZlMNLLOS
9xo/drUNfUhROVlHcMWgCuVH7Zax0+SPnsQsgN8Tmp5jbmvJmaEdWg0WaKkdQo2y5DRI8OYtieGw
Yo2/7kQ93WC63lOSIU3yKDA085rXrzK/m0IV1MZOSehO2kBxnPOPa9jeW1qKckOw+ZjayaFGcFhJ
cgLf6dNdUbZvgu+3GMABrVWNdKQIXm74NuPkJoh6IoFpTF6VO00A/5m/HgU5Hgm54j0tL0uzIN9n
8EB+oRftwU5ovBlAkuFOq9uEjoaHfyFKSJNYsLPLfemle92REN9qoBA62pBBo1b5YUjeMK7EtmgP
KvNsax9qlTcG5A8mHzbeOGnpek3knJyqdC6fTRdRij6rr1XGsli9YsF5Nfscb9wytqFJYvBudH7k
yBFmU6H8VhInRLMtZaHk5mFMr5G1iMeZBMMd0b9yuZ0IDTU5U7kvvNHA35/XEJrLFCsCf8mCEpGQ
IUiuhugdmQ8TmQ7QO4tR0S+zsgUvA/AjGlSD8RJO3S77ODWuHZJkom2QN4KNLygfdVRJ2qNQiXXX
uuWb3Kd+Pzc9eNpCeSCCNeVZU1GYazVNNNQp6FqhsuxRuWrZ50FDu4Dp43lB+bKmDxnUrZGKcJQ/
VLv4Va7C96N2rkGCuP888LVkWyOXOAiVYlMGK8DCwNSO3ioDG6tXL2EF5wxHzG1Dv+GJXN+mGlHD
x6ULKoSCwcCHIv+V7KF9jaLPfCHpeT+P3Mwmqr6nAazLS787dA4uv1ZufSlVCciT+2WDPkINXTMs
hMtU8OsYUL02s2FqBbRz+jIlDxoxe1OUSKiX/ZDdsr6qeoybZjok1o9Ek61Y6HK8Fy1HYW/TBU3D
hOn5TcrFTxyMudc54XN7l88x0GewdLuy3mLNYPnO2rCcwcng+bAi8fa/19ZXbsI9jRhKo759rto3
F9BIqsPhpmPdmmOT3OyYl0YsNBDD9bglQmOGWNQumWSRTIKq22Pp9Rt1uMucO87tFtKuMvKwUD9n
dQVpfGsAbY2CqLsW+UrybGOTK5t3SWS9xuU4UDiCK43pmAvdxMrGU8P2Hmb1SW//sUIoDAfZyuk+
IzrQ/N4+O1wXhlMcekxM+H5u0HON9x0ZzpoVgTXPQXkFcVrZgcc7NTsBYVjJ2QarV4s1FmOyW8zd
zKbvWJ9Se2qdwV9yi+Qu0nwaoIZIEPTUJTgr8wNpVRFDfOC57a4iiErhdqR6yhe/wKIBKRHoHTjw
MS3VpyL7FcTp6nAaEitA8YlnPrSac9I93AgkBYID+XFHD02F8QD2gv5umpYiY6JuS5HwXsgRsi5e
eDQ6dk+QU3vClPruAeFO2XvLo1ks/hl+lQbxc9PFk8xCF5HtTYnprEwRbxugtKWRLpWfGhKRSb9H
tg2C2L7nw6GrimBMjjlGD0CoVjul8k9PHtvHBN5WctnN+v2iMkdCIa2kbGCpsIjDJI6GHb3dnpQR
7bYosWOenORZRyzicN7XBTq58rnK5ZG0MeSgVLHiw/7ZOmT0+mMnfrvsOCByQmdUzPer95dIsNWU
vGazhk2iGWr0jdny4SliC5XturcRT9YIjf+8ob9xwIeSj7hnM1esMba9f+T9BvkGyLlYgWX/qYLF
cI7Gjb+CFb6rj7mJ89J8UZddwnU2ieGYkGmXnLL8pabi0GINLfQ4a/+hBPVrl7Vp35gIa0oAo1iz
aVMrl6Di6NaODZCbSHabhULZVA4LR8n0n6vzWo4b2LLsFyEigYR9LW9ZRS/xBSFSIrzNhP36XuCd
6Z7plwqSEk1VAZknz9l7bfFoNFsPuHli3iRHFuXvJ4Rp7S8TuOiQf0VUsx2Gt7B6I3hFuDt/2otE
bZdLZ2bKnnIEEo3YuLC8cYK0Ozku7bhTQGczijBU3vupxJD3q82+2WhXltPvIlZLmVQcT7gaUrXC
4jpir6mLIwDd2f2n+kOUfzgIPpu/FUmpZACgP3ULe2OEr7JGSOI0rTh4PUHK3lxOO9oFKhnru189
eZNQB1NxKmmb/msa6mhTWaZ7NCcnB8QDWqpiVtt42MYVJ6GdE8LaNFRKnuOinjN09Zgx6KPJ8k8K
+7c7G0iYp6RjLOGEzwHJKhySPDOx34wk2NQDvXariUZc39Pf2Cn8N4VPeBNGza+2Y0yZVBUDgU7Q
qmFqXvl0kL1iP47+A6Nt57XTH1aZetsyh6k8jLSmfOOxcclptPOvALs8AzSWKgNWz0a6uJCzsv8u
6undzdk9kYfxDj5WRBrKxH0GCuDv487dQWP+bTJY/SyaGMQAJwWbcRYHS8zWFkQsAgaFuY2tIdoV
eLoHVDO3yGxuU/cquO1t/hDp4RcOH82EmwH5RMDvYVxB49ZiIu1jiRKfYwbqu3wqs0sXTMg9GTD5
336698R9qrKXCRORW86nljxlTU9zICsDs6t3aIeXxgBc89cmtgZH8xpNtEcxD6wdqauL8anbdgQk
4M5cDdATvI48AftJISSJsCnFQA/M7FqOb0Fvkxj0YeDbMfqfweKyOcp8oI9sb7N4uLQ2zyYuTtmI
/AQd93CvRF9uLA6yOhG/89Z6mAvm57rlzDyHwdpxmhppbMUyr9C/KXft4tzNDd/8S7t1bztddun7
dRrG871JluR7Sp7CS9kf3SImq9xxSLIEt83O/46/F0IDCcCdBDk18+ZEyj2kmRHsqZQjfEuXpIRv
A4UaTw2E8MocmFhl7nOuKb3Au2wgf4/YQevxGDTcILrgvGI1DvqFIcVcI7x7bqSXkDFnPbE4cy9A
2KbXuGvktM4HNZLOEL35C+jG6ghchv8z4HjPL77saF0wGn8K7QcGWE9Jrj18cWrYyEWxNRdoSqvB
sleGdm9tQa+8aAb4dYmLrvBklta4GYbYWi+yYzVO9TWfkZ8jjz7ETfYZgEVfCmJzT013DEjq4Z2C
/GC8xGiF4XG2ETA8h1PZNjU0E6biw5xAFqj0c3LESPs12xjKmfcqaxhnZ/k/WjiLHgdZJrctAxX+
IF4NTD4mAGdn4Bq68+QSqj1/pOGf7NqQ/b1tEc+4HQK+hGiagrEnbu2a7U6ChJSpuQ9jj9FMSUMi
iQ91gFU3aWKfVGAPZIYC/AkIhiZH79Jyop28OL8MXS+nEyrFSIxqx4labb0sRoER588YMQ7oJagj
EH7ODdKEqmDrb83qd0kUC85AEmfZ+aK4v0+jKy+em/NC1njj0+DQlQU6ekgRCZ2N0kMjPUdMptn7
zAS5w9hUVG5hcv753G6ETTsie57GjOng8pDlBuilnw9/vvjzkDvedEqtAYzqz4c/X9SNwShF9sS4
BcGJw8dAcNPy4YTcpiSADAujW6WEqXFELHTFTFPBUDt1y8PohdBbl4efr/3Ppz//+r++9vOvWg//
77fV5Ryf/PZUSS5BEkC0d5oA/TIQUmm6MQz6Gp7U98CMcCskFHyrepTV2WiAHv7nQ9JY0XYHotVH
LOKQsaP6jPKwOv/nH0yWV4Fbwc+nk1GTtrNyRDed/vPQp+EqHXq0wRY2nXZyvdPPR/V/f/SfTxOn
PkoUeSR3Fuc4+78PUppEBPmRwdnSzs4Okisas86Zidq8RxodltBUrCUY9efBSZn1yeXhf30tXGJT
jaKnl556bLXaO/98xDmeNlQG7NGln2FzrllNupTWjhKh2rcpMNlQmuAVYq0vXQ5qt67CcldZdXqg
AXqPO8c+w51IWsrXxGH2CrTKSOX/93k8RvM5fv+f//DzXT//tSu5S0LTLbezGI0LPdz/8wBAqj3/
6zwGTaFYmFE8DIHkJPQ/n4PT2jMf7Wgc2PgX9mBp/mirtc6OU2Kr8b0GQSvB33Pvv9dao2fgXGLZ
j4QSmQ9hTP+D/JiHXnpkf6Xq0ZY6OTG2/bDwBaESQ6GOsMXfD5oDiNNCzI8GTKudFZxmwmzPHh6d
7TCiyAIsF1/c1PqDQMfZKVvgNZeaRisdzPPPAwZPRRfIQPrQ1c15TAqfD2FAWF0Z6K2xDr1Wkiyq
PjNoIaijEcuglVBhZZCeEr1God0whMt6Uo4xHFboTtrSH65h2xpAh0NoIQkeP1H35x/WfGOIp7kn
NLfw5mNRDsgK1FgdoXeiSEBoWrvTwpGhHWfGaleVcu+4M4Ix0bTbMco9RsckMIV2dUyGF3dhiEfo
vYlqm1bW7MR7y+LEhtY8PHpBgtA3NfY98+UtQXU70xg3lURhDb+Xs5nkbKUN6xZluPuEEFDfCGM6
WZx6CSVmuEBYyk43JMS2OnkqA9pmatb5pYoaqrFC3avr7JEU3y3Z4YlDlz4x0TT6OW2yBkYXII+f
X+2oEPMDZKJzSbYIERvzSwkg6TiFTKaA4L64BnYWpCk//3FqaKMDGemPpYXaRVba3Ts5vdY+oKMz
YUryOc9s+2YJKBwqvRttEA8JvMx1Ta/pcUC4RTVf/G5F2m3Nrmh2cUEJCmvRPRRuKQCaU5x6zVzs
8f/M98DTES7bnha9nqErzMOjixPSQ9OWWWo6WGjT4jmFWQCLoTTJPq1qce3nWr7zXljbqqi9dTwz
miTKJtpT0nYbywWD0OfZS0b2MFLORWsaRgCVJudsIRUOiyPNIfr/WaWuqZwMBNjjm1O02U7lPVHw
+GO8umzvkc6eJlASTyYdojoxPGYJnfekLQmvhsZRzYsdj5b7aAeN++ihvOVsKEl++u+vNenSlbYc
lFSQaG+dEgghhb73MFGgh2fVPqU1cv95UMUS486vtKSY8Zx58c2dLeCZi2u04sSqSl4mZUZiX9Rw
gMdEZjtTQ6EibyI6F6YRnWmRF/tKqpFhPB0bj41Qx5e8dqMLFbaQV+ARNoNp4vw4pdJSsyYCugAI
XVHO1NeGxIprVdfBlpRsuioU2julRwvQDzy3RvslDiin3btLS021TXUNwwY1r9ctOBrsKxHN8k3d
deOFgj85yjS/6uVqzGa0z3OP+MPsfLSKWupm7XbRJ2gPDo5BZ56xTWJEHS3ms6Vx7TVx3gbG8NHu
xAVyEQ9WJxgTdrRm/KvLlnLOSU+4xyZTU2g200EhUQ8wFD5meSzWdWviy11+Fmkp/sax7btuelpG
S1imZWjvXjq4kwyxGYjBPv5QSz3OTkxSPW6XV0f5iFJB8qxsCkA37by75zrqKfPC9xwhOpMpxj38
DuGTZujAtj0nTYpVqPMtOqlzdE27xERWzJi3SR/GLhbnXj2pNqdPVEA7jXC+noX21JlE+XmFpTbc
TkL0D3nV9A+jGT26EX5u3mp7U0wQwmTW+FuLinDjm725MVDuHOCcr7Eouo+RDN5qTfhgCCoRu6pr
vaphAGHmE8DD2owWfTgyI3mSHUbTQLhX+MjWYRwGyCINYZSzO730SPEvuUPzI+3kFvAg8cR+/TJY
mMDDVDRnIynSl6DFYEPLhLc9e6VWKrYhVcSR2IR+Y0qUKI1RwApN9b1khOpFL36QWAv0rMWSWjj7
rkE997NIhQ5Nc+CHSBli68ltlH3Q/sARGNlfh5cQr6HXghhsCt7tbvSGs2Mn2RFq7JZkt2TltBgJ
7amKzVWvuLj8OJtpBzMD6yNtnzIECWaa/Of68nDxGNZA/CVooOswjPFVGxflRBXfAkgQkV9T/x7m
VNykg2yz7J8JZKa9pRn6u413a8jCvv5cUEFGO0xU6bhxkig5UJ4fhz7IzmxfatvUnvsrQUu/CKfq
g2LhIujRNPalT8zeCGnolpGTcXOJjzCNW8RitTOBJq7NuuHT5Ws+tcXBsrA+kHxPNIbL9tlL6T3o
5SF2SKuPk1n8546e4IITbzgfdYeIfqwefm64eWCMCfIGXW6vMYIY6lKTG4yxJYiREAS0euzYUjdz
KMxDy8W5YhCGH0j0b2GaWTcOMNYNQAHVQFnQsmjcvZvbCTlwOkFfmqT/+Uhph05uhxiStv82GkOm
pQ4Pm8DI3uWkTJRiltz4jgvnFlRAFLdwqLTABdhjUh/H/tfYRdWVQNPi5NNFyyRIENwzyTJhyR5G
DV4qqv29TC1iJ1hj7gQKfKuYkFLXB6IDyqIXaQjqaPoXxGa0MZXchaHw1kQsF5tkzmn8eICvhAE6
CC3ygRHYXTLmREUocLcDxF2RX8wAdMBiP1aYpfzAPzcOzRXpdr/Setd7ZfwtrAaFT53I177w2VDo
6E744Bwdpgf82ukpdxArq8zBrMXWHygECSHy3L1n9zuYebfRsuHKqyPiXQqdybljiXpqAPwpkjEH
0zJ3luDUV+vgaU6ilxymw0gqQUbjPPywnSJ4dkxohVabp2vA5EGCTrMjS2LjFHF4csNuHU940Eo7
Eawq821u212fyYxmGUimvHcei6o+zH7JyQ/t1mAfSqdsKGGnalcwwirk4gsYjfdi1FfOn91VLGKS
xseoY1Dzu0N4K3mlPbmIRXqCyH1rkxAcBePCv9k1Z3LhJ/o09BMGutskSYSWjTgWY8Y63N5pBgM2
0fjQgQu46PzWtZffur6kzMi+wM9E53qukjUsMkZlxRvQC5pw+bbmZOz6pUAbrFKYV9EfC8D2umzQ
EbhleA56yzoY/rLtzJ99lB6FoCMpjLm5dHJ4NyPUZ7U5X81m+PA9TluanCYV2ujX/YW7JohfTLXd
HBvBaJBom1U2Yn5LHeepTNyAEdNgrAvPuwrumq2ZuNZpIi9mmSjRbMguQeA/G1a0CUZSWRJa7/Qa
EHvFXbQmsCbZGfn75EIqQazQrkm5ts/RJM/wu7bEPKWPshoelK3UJbJJ9SmD9m3Ie6QbBU99qh8D
f/ZWrHfOLdK08+ayoguPcuyUIzRltybxgVnYKkyAA7iJtVNQAegzxsfYbrsdY45FTQsBrXOC37EF
tmXK2ktAUsJDSAcdYYa1JVKDhktoILJsH9s0N34LlewtXz/nZK3WbdsQ6qZOBqY/nNgWiOfA4c8d
0hvlWnvAXW4cgRKeSlNAPinASgzO/DLmQ/ns4WW8ULW9dTJ+/Cn/foq+EBDxyfCtT1/CtMoGsiCc
qtwzgBhRCcl9txgNhBfm+8kkzyW20KTD/kKRWrHt+SkDrKK6jsgGGVPpdUoKuuX23Y5xq1rP+afQ
zZsbAx5YAv7gaOrtCMYrVf2d9MhtYtUVYT7jxPsTYKrhFNoLF97LNP0RMdBCT4yfSATw/buBXvew
ajdD3CzNatxpNYChgb8bXW1HBY/FxrcdeVDTlzm1GqRR8cQL3tHXZ1plB4O/hc710NopunBshMS+
ep9eRQygGP9CwkaCNZ20BAaKcfu3KSJrQ3qDcxWdgx19Onfp8FuXhNKJJkVgNln7aax4vS0bY+zQ
/jNgMWym1EjW5O7udPw4O+i5EpSo+EWafpPTtALD0z+PXjbvjY7WctrdMQoTWGcWv+LJ+jZtT65y
khg3pMpJ1AgI71Mk4WGJMn9mNtehLvZZcTeBNtGRc/mdoYBIRsxapu+KQ8RWp02zKem8/w2me6ny
r8rKD52Hn6s0eVONgjj2wjHbbZsy6MqL1lgjId8JqxWb2a/hytNMjOERuZDA156bfVjelO/sFEQp
g+ahU0gCuuYagEJeGsRoEDoO/8p4qTPwcxr8XOd0b3EVbeKJbq3tWM9qNpkvqy3dUlHl+pdorX8m
ELiLxuwdWGyDgsITrkjOnlXne6eR3XkCnNCZoEHscEsuQbvVjbNz+jTZStQp2isf5678HTsM0XsH
QeEQMbj26cnjo2QBhL6xTrLkNOn0yaIsbavvyDPCfZk29kqAg3OD6J/Mil/QMMHjxZij6OIf4s6O
tjWh6xyxom97sEYYs9jgbcP8V7kxbeZh/GN6xms5lIjB4bGuJioZ14ovsgXiFAz2A5QFyoKq+mur
X7Y7jEjLm88moHgPJ3ZwsHofU0ipYyp3CyMTVRi6olpSEfe9QJ1BEyzM1dq1/ItmRFxNcblF4o0X
GZDfaPYPZQFyqVlVL4bLCb0TzF9K9YsDzwJlZ//05BOIjXDz6JTpnzZvcPpGOR1+FvjQHX5F8WI6
7Lx/UTXKfZTTaUpxnwlOkfBAzCcz+coi90V77t7u57cJ4DyKjELSWWBIaDYMU+yj7WXZRru9ccrS
+NXIPMaWmvz6tvrjdDHKfIKlVqPv3BZrkRlaO8cexaoM28fUcmjVpQ2IPcXi4tNlDRZ0hConJiim
INwbIz1wd/6uxD56NXYbP0d9MMbyzZ5pjLnOuMncrzYrvFOwjH3nmrksx30fmAG8zq2tmreUanQL
DWNPivY5HMdNm4WbIWFlSCRKQoAziaw53TEAdmpJjLedMGd2aed6EzY8C4++mWFvVBB9EY8+p6N3
jhAO9v4MFSHU9N764ELXGWMvEW6ZMb3WDSb5Ns7ZbwZ+oe/O8B6mFFkK5xbAgV/2oua0/mizLzA1
eh+ZRNTjlVtnbDz6tDQzav60Ikx+ERH5MrF1An5xDz6ZnlvCL/cVy5ZbcC7CkQ+8JlnZZXHPXJIv
kMSWHPpFeu98iD9+xXudlpzaihrObstN0nk11g1xaXABgOfITzCdEbSHHtHMT3BplggpdjSFisqm
YVCXz0OLYsMo153piYMZk1o0fhV0nVZ2grSd0+e6LJGcs8yhYTWbP0RXUMvV+eNcTKdSiH1alslL
gmZ04BDGK9msk3LI1yDT2V3YlUD19G8aTN4xprvEbcxwVhRoOGCLxdtpAncCPuVM70uusybdjFn+
apftAaHqhxBPg66foRmDSZCtvfY7uUZXvrwwKBPbaTr1FetPGNoH0cT9rguriilB+2in8W8/C8TK
YZNaKVWe83YotkXyZyozdyslcBZnGh9J5mJxCgniMgCtUY+2ey/ND1RV9IHZv1slmp0eeZEaz96L
UW+FgLNkBLj7vOy5TGxsS4Xei67POLkG+bEIbKyA7lMNeZnsI/UP+uaqW9yEWMbQKNb0CslSIJ7J
dJHJPQ7cAmHZ4s3Imq88nVwovh10iPCZKQvesPGa0RffdB2TlGZorrScHlMsD4d2ef16D8aNOXIQ
jYP0JALsrKb7EvvOJdPkhnHU+G6KNty4Zg8zpfzKFteftIEfjxiIV0La75al5aqcyhiig/W30/kd
6ZymsQjbboqjh0zS2Kvm9CZrUazjyNkZkfvOH0mgBejMfIoLkElobiZ7vgL2o1/mm3QNuQHIijc3
XouBFdfv2SNkb4TNNbQJ6s80RhHquBtO0et6qfCA+DQoWGBPJeZkrjuwEZML2Uva1A6Vhw6nqgS9
ESQJtZGjjBnQemZ4T6GIvPdBPW4ZHXAht413ZFM/5rVsz0bG7AruwVzml5rLyZfucCDY/RKwSFkI
4uzS+2WG3ZmlGbR+8D25DORAIqJygx41WfYznTZAh7Fk584+5rlr91GhH/LWe8+8CnQLLO/qMzLq
K/fqR/OD6KE3WeKywdAEtNipxdmPrGuedpcpGu5laDXbmHqPyaZDuYiZh2eO99hjiOKgoMIt04H8
aaCBqcxdz94AGqhmdwWg8IENjvZIb5Y3Q7pfg6r/9JMPb7iedrJEQF3ZNy+NhlNRHIG/YoJp3yfG
q7yB7p/U4y23Zlttxo4AK4P6em2wY1AT5PJhgCYzD+Y+ozXBIVBFa545DREXandn9y+zql/R+BSb
UlH+x2YjVsHs65NiV6cw+0B7BrSD2JXdTNvo7OtxXvECvKBSD4o0uBeS4OcBF9vg1zANLe8JwTBC
EpQWKyOZ3gOszg4Lfa5vgyXf3Ijnb1IahwaDubkDOJhxh3NOmVAxG8itkGAwTnualMQ1YRigWQC8
exdnblmBc4Lr0szjBoKjs5lzuzlTJL23I8N4eDBbMp1fS86KdRrXhyxvgtUAeMXLExq5EtNZps6z
YX3OGMa0HSkmz4Cf+5jifybMdRstVe9TYbSsBV7OxMRqEGOXrrlOxyZfu36abwGxxKjuiJE0gCFO
NuwwsGGHeQiezBhHgUtY5npQTswvo6NbaQXDrEEpqhDGtXStM3qna8vlm1UfHBoJtd42ONJ1KZBd
7b8TdTt4ITUiCJKVCIjEidp3f6H4WH34plT30TVIDFxN9zWvdpmEm5zLZyXH+bGDSku1yHdPxAK3
OVkwo9Ld2gGBvTCWk+wchiMqYz3FG+YwN6Kvw/U4wHKu2/zLHCSrqR9tBz9/Z8/gQo4CE2HmyMXY
umdalM3WDtyb1XRXqd6cTJqQ9fpNkA7o4v1iF/XJB1Yvyn6zegppOGzD1Lt2i9q3SsZ2B+30WVdg
koJcIvUM6YpPSlwUAMUQEcw+iCy0aYX5kc6M5KVnHYuexbyrzSM3IcsKmQBh7P6t4ypkF4iAJvos
1tCP91ECsrKmY5X7mJdDoM1s3AavsNPjcHDamkKNvdqf8yfmdtiAAqxRRl69dFXIiUDSj5xraFcy
+ipoC1JTQjph/vHSjNatkrSrCVS92nNm7mb66HT56r1v0SMWqYbW2/btnhV2Rzh4sDNQIIoOE79h
M58OxyG7qrK4qoDJJ4Eu9S0dqa0chQjbT2rnkNKhyiN29rjtMBcAjYL5TYaajHcyK8UhbGjLd0xU
Z7v7k1YZsKrHBnfcmtoFk7XEwRhZ6blIxh1nv2wzRH9KESJ6reJVZdF+rWYwdpC0SakKrU3uMZAs
M7ozZsH4YyxgVITzri2itxy1QrZM18OyeyzYpAkJqkHgV/DGGLCfizDItqpHg2rG+Uvpc2pDkIpM
CVs3oEZivM6xiQGFtEGqO7e868z4K4qagFEmbuvIrx9n0nf0YH50tNHWVZhMK2Jg7j+fQQqsNgDU
E5rgMG89RikrlQz5IWLJDKXQK59MQ5S4mB2jPGJJd3mhw2FnkepCDhUjcSnSb60GELRw7RSK+iaJ
v0FPInWz/HkhPx7Q2/SvnVWfKO7Kgxsg+Ekd7G1WjaYpJvF2RzjLsxDlvSMRk/E4erUpTXczdsy1
5UEF7E3/GC3bVSJ45zoCe83SHnZVrx/MpD+hiTz2RjaSxzh+N5xMqQvk2rM89kyFdyAMUWfX3nie
Mixjjh6CjYROiygSSVDCxrRcHrBbarA2C2enotyTuf5IOpLsDOgArT2aa53138lcvvchGVrS2JI1
MXCbDvOmww5XW9T1gw2o0s4Re6SIeYLwyqiI8YOfLBptHBAsi73+J0T0VkB8uihil/M6m6ib9CPB
w9nZbctL6DdI7SAOJllbXJmSvTcCWr8TAxjPjVUoaaVSv6DQaeVM3i+vRloY75Sa06X0M4YaM6dQ
PzaYpnDLVXI654Ob3ikqx5zu8DSGJtUYGeB1Xxwoo8+GhvhgzEKsZ1fHG36YRNyHO9Q5aDM+kA7y
rmDEcO+DZJoTwsMTfrAj500qPXy3ZQegHZllXQB3lwGXWUxuyZYeC5dIceqFR2smdjZuB6fDIecQ
O5gg2wHoYIgbq/AGGy3fhDS+IWmkm8VXzX0ZCyNm2eV5iLJ9DjUhBUZZcURC4BfXc3wn7AzeCBbx
CKETu3zCqop1oBhan21u3M1EMR0ngtLnefyemHiuxk75O5f5w1mYxj1PneiKzhZITvo+BIncZYlM
AD/gH28iaEH4OxrCfYfWpsZuoAUyXEM51if7DruHwhmzSWw06EEcj5fa5OLn357iAeURLI4M1i1/
+oBssqSskog+2npZMFDrZDVhLIRDr5wmunMkJF7UbV7cypTMxAhxHlmau8l7yIvoXuQIWmzGfWA8
OKo2YLa6KAVsjuWrbT7q9EM02oHjOW6COSDIjB13qpxPO+R5qBKiyxAvxEQn20rb/Bid7EmVDv7O
snttXRzl8xJmVwOxQD/Eyk1HJMuRzwXBH9+HzD9bD26WfaG/fzNCd9dX6cfE2WI9Wv5tCCuIIiPO
0KksueUE6gXVDKfJgp1o9giyyu4l7wjXrDSDQsTqu0nN3etoK3DO1XTEM3NFsr9EfFd6m5Wzu9Yl
8l46z6vMDNlJwA3urBB2Cdf9Oo3ctYNofvDosScRtnpVpSAHOVz1mBa2+RyhWO/6fc5ocC1VWnAE
bhdx0vI/fDyWWfRk9oKtFSWot7Rs/fbMuGpcYRxkVSdEc2VpaE/a/K7bBJ1rHn6QC32ZGzwGADi/
sCsgLIXfKrrfzCA2yBSgHYvO3A6Z+znl4zOCHryRza5RSFqt6Tlnjr/xjMfAOClJizQPafaWOXkF
blVXZOyaoO9yWHmq749FGDrniDq9DBP7FLOgoMzSuAaQYs8F52WTVJ4pgvvgKNiQTGaCpPxNoh/K
z0kbLEH9aR58in3DGbbWPhnqeB2SYXhoEOSLtEz3gUg/6BfXkCDg2Gqn/+vVYDVcTH1iUMUeCni4
6iFojAUctqJEbN9gKUJOzlOik4/+vUmqbwD/AQzvcN57Q/bWIEIeipaNugSchB5nmxBmF2igQoMf
0OjVhMVhGZwdJoNuRZPFoHXt1jgbLd54IzAPg+nDcEMSxxtmCd6SzM2wsWYcMFAf/kmwi3AGveex
R8+ptW+itN77FjFn01i8FF7QrpBaE4qSzNtWmWRxINdE4orpYEJZSd1lVlSQ2TqhL71yQ4dSr8ZI
2Dv0h0jxXccxqjErQiRj+IstPjb/5nn12sASKy0jPXcWaAGcPrwLhUIhMp5d1Iwr2x5/52WGD8bO
frl20x5tFf0RRJ4Jg5Nwp7aVgIXT6ro/WI54CCfvULXti2nRkmZ0CEAhunYcdzEZlX/rNhoBYvm/
ZRGQcuKAtq1vwk9fuhgVdGY0JQilfE0NuVcS9NYArYOxElN5h22V+59bg0QFE3MlA89h17tkDGqf
FD2zThEw0A0SyGFq8gdXLcBe3wOJCAr5aGv8y2RfUvVxxA6YEmNU61nvWgk3YbzNbuUs/O9HI8OJ
laEUNm37rdWNz5vq5es4/zTCfznxVPvWMzEQ0KUEEoj7txUeCMcex0qMJivqyTyZ5Hfi9l+6R3AY
12O39qp6x0QRVXSwVxA3XcP+YAL4JyIXh8sO0jkw48JDFhthjyFOGOp680lgCfGWVXBEz3Nzo7Y+
T5qyrZT9o9Fj49MGbdroHyKQczpCmQui5BML09tsJQY+JAM5u/cbNRknzak5Fqwc9FZtpLlMWVpc
Iet+zCFj9W/B736w/5GZzb7U+1RXNETy0f0TUsKve/Q92QyKF3cF0UZ+uM/EHK/rktHQgGwa29e4
sxU3bt329Kg8e6Xj8Wfdei2KhcB+zLkJwh6j+SyjK5qeHW+Es0d8gOVOEEIkcTx8Q82AW9iNzBgL
+ZyGDJIKWvueT2PddHy8pO3HmOOXHxxhbkzILC5PQZkV3scUmFtggzlzvstgkhsdmmtHdeec4+N+
nshvJ1vxrLvDCO/wpKx6BwoqPjp6/IpaN2WoFng0Xsp14MX9M6p6VGJDdslZmacgbffNYN6yLsCC
V6PObNHmrt1sOBmgy7R+7lqtWE6ijW07AWOSNRTwVYqACCXLnV7SkVAIQHoN5O9OqMUfCrMuyYfX
oMU7qI3hLaf7A48tuNmueMxsuDtt6H+yKtMLljPCGMKmV8roECxFo0Eo90YrLps5hDJQ00aidMRA
dwOQOv2RcPU3adewEii49qXRhWvm9vpA2UFfwLLjjQzKz7LmB8T5W8O8lIEmEq0kadedoUHmhM0B
emIGujw7JT0mz4xemEwahBN980/TJB4G899gwFUrWUV5CsytFfuJmlDcWC3X+DhDm8Bi4s4cypzE
3TYtLXniqvqBKfrS3DMbYHwjHatqnHZ+DiZT9ZQUsNW3TOkutc8K27lXg+e4km2AZS4a905RVduh
GJ2NRaWV9Ajny0SD3xvER+GOwPpBYNiIxko6OwP9FABwjb9JR3/fzuB0Kg4Y2zI13oaJRWt24WBg
v4H8QM/NR2pRaRBfw1y8z/M+zap/evBOVsRvyx25n0BZ8YtovxL1DWyEUZYxMynT4bE0gjP5sQH0
JQ6wkSCiNpoeyxHeiIloh/xecG+ifKf2ENvRx4GEoqNAaq/7OWY27zNSdJi+q1edNM8tciLgFYCc
9ESHrJPPnK/2nTSBwDfFwo8oyT5mXdHS2Rqcfmhr4IQaEV3BWLmE8/zCSqOI/SE7gLjktUpcwZBn
ORhnOBEsN99NBquA0zrHniJ8bYc+/Fo4OCvbqh7z4exNYLXd5CZSzBz9/KuKf48GQao9KjlLcEou
SyKqlC2vCV1TCiwQ/iV2FofoBUMyghmXOCnm9LuAWQ/3TeZvl4ujxivDJKtASTGO17j6Ldgh1zYT
J/b95pdFd6d28QkSvfqW5J0mzYiVZbArOP3rJAaln45/+SsueeLdFhPwMKr/4u5MliNHsiv6KzLt
0QaHwwH4QhvGPJAMzsMGRjJJzPOMr9dBtrWpuloqmbbapFVWVWZGIiLc33DvuWcg3E9Vu4SQ15sk
0v1+zg2coMy0Uxtg8xwMby6pvVdI3qbcxZfFsLb03QKsrXmp9W0faqBBUfMcenBF9UMeDp8JdP1t
+TrHVCtlC5DXLZ0bKw1fKTrLVWERCNfZr5ygAk3kcJlb42KADkXswti5uuFLeHJHtUfC3iEEdDDZ
aDbzQx7/KgVuZ3QWwTJGMKpxGwpa7VkiORKaOZJlQU91AfkJU36wMlsbYcRGNMr3cmGzJp8jM1fS
eAvqrAEHXB8yMc31MmIigq2rJHCtHU0TlCzL8XaVUuB8WxDFs5XPa2fZNLbGs0hLjXuGSRDhY+HB
KJ/SdARNDrXXomSiiIIyIlnKsMXZmTWM53jmJDFdmxmgaE+C/eJEkuBKDkTqTdV41kF6H2TqJ5tP
JZ4UzYc8YjK5qkPtAQOCrO4MTGhDxjtU2Hj7KqfZp5k+N2KJtkUXRKMOcJEp/snz7Bdz5iue5FVP
cNGXYYPy06q6GYTAoRF0j6FkXlD2+TMCeKxNPmfMzLT1qs78tekwM3EZR7IAGNhBuWxpBtjU8NE+
7IT9EvqDTy+gbFLe+JgyOlqHQx/DLmAirwRTfcqsZN25cG15s+vqwlICIYFn/8ocQYCd9rbMePBY
1DieG6AL4Wyv50p9OAHeRCy4FgZWmiWWUFPCUEJihYpy4EhjlYD898gZDGf+vcGRfTXsDWP6DmVN
kJXa0djcjySHlJaPN9a+8M3u0VYxIQ094G2hYgyOfdDzuzULnR7hKt88Ye0DxRfJZViSAzUPosy5
SnPf2BFX4sE+leuRWDeZWNXF6PA52mF9yNhxOlnT7dKgvxFVG22qgkZ4GPyDp8qvkRWBMbGyikMX
UXCH6THtbwuMWTTvI/iA3FhTv/A3FYk4mDbzHsg0B6rHtaWZOLuN9YWazuEhcR4QYbBpZrbpwBSN
dZHHX+Fo3OVF+hDb/cvsIxtgJvxVaKvYtBRmZav26C6+4lonB6TsmxSvnSXrdo2ZqNlrx9lYIxCv
MvwgFciFN5OfFRhVPHS+hxQS57rA5gg1f7rKWtwrTQVoWiPlZ5F1HZizcexs4wlRzmcIrXITDP3r
FI3sAMInE/DtqstwZ4iHeWJQoBB5zEkGArplJDAwbptHlxFfmgL7Qz6blMmLn1Ci14hrSV8Sb1Y9
MRHK37nfXfdXPtZPsqZUN3wiS+LmUhrdsU1oQIoxf489eIuZePPGOOEryYI/qUO5qVR038uXwkz3
xO0lZ0T5q87fCCzQK+KA920DOt8YPnop3vK6vbUT+7kRFJJ9JI9IrSGFFusRCyp9+weW6QdRo/Zp
eguMqIo3skAzK9gluE5HIynMG9YE5LIyc9lEPFizswuEFfltzZVrjPnz1Kry6A78A7Oho3CG26hC
/90FcPFn5V9ihX08AKiElQ9CphiTh8702KUy2hzbJ18zOnVctMc6TV6rguyKuKwoxLYa31+I/7vc
djVsHOwtOMumhSkBGbhPo7MToWDHA8QBWY9QIeCQbNUtmXhs2hdThlVZwCbt4lXbDD6m6SVQoDit
IjwBhMn58+xqY3UXxyXhqGOJoLBZr8l/ZmAqBJ38FGDL7ZYblOHXEOJsb0h/m5xnUlPg5kYMjbJX
JI/Vtjf5k5iKoF5HOcr3xyZ4GpTX+JNPyY3OdHVlZdNNjwRsHdUxQ1zxiaAxO1kao0vN2J2PJ6wO
qbZhgu3dz51bM0qf3QdmgnoP1hQCcox4kegorxhuy7G9zKlTbj1Kcsl9R3lJ1K1hqAPJesQsxrdD
vRQ3U/DYy2TX9r28UXCaHAsTttdxx5shOjkV1QdRxT+iSPZN85wm5bsbtiGUre5S+LykbFjb2n0r
JcdNhVSTbM12GRyXvMFS731L/PgDKyCrqtdiiJltZVCQArTiCOu2TqceANA/lx0cJjDR69yhucor
Y9NH3buTZAxUhvHctmm+zbvWWs8tgmR3Qwh3t/U85a21kK+lMNYdpdoakeFTbDKltYh/WpOjiOSl
nyDADai3kH9iu3Fz3NXZr5gt/TryXGtro2BKFimeyKZfRKFQeLTjYxfNPDuGCATkiVNqqXkBuuJY
XtBgLkixySwJN733HPEUeejgGG2ba+kyfbYmFpZgE5bsIOPQwkFHhrDBWPcZECUV+e6bsqEp9h6z
hN57NhnV70qH1WMBPeuI7zkvHPLIl797XTTPZaEJQMSUZgRdtHYXukM6ocQJZtTJk4bQalRPqoJa
gpWzs2GgdLF/zELubTM2uJUc5ZL86DIiRbXqR2x+26bbx9L6DIaJyZaEO1hhugXE4YI9Z24w3kXR
sB/ilgHYQvGaIrvCIV6+V6XLG5JXhGIk6jsYnPfZIyuncCLWe7TPoci4IlRyvi5YyK/SlkugkOpr
0m8x2AsLM80arNZiILMewfXGRB86yVqi4V+Phok6xl0MWxbkuIzEo5aN4AgebU2gA6a/EDuWF4Yv
ne06a67LA7fetJaBcZhrfW9IZrwYMHRt7+BMGFdBnJzLJdeM3QZW+tR7YqaPxrGd+WgKgyn4UBFQ
Qq1AhDcgRICmLOwoJyv3ewQJT14PWT0Cax0rcfZUT2NK8vEcw/1vgHYyCWzVXSt/qaL7UbwR2z5z
vLVIvkqPgT6pRasUJUXko3WkMexWuofZReCW3Tsph1KO/awwt9whPnUtmkpPjDRLtuPhcmOh0ORE
PwWoJdBhy22LDmxF5KuxnSTLS2mZO7NoBJQJ9zL3lbUTAXSFYparthtXtswuKnh1h+YaNMrJAagX
V0+G/8Ng8SKt7IEGNoI5wWzZSdUmVvFTp9jx1WX0jafk1SI2CV5iR9yCEAqkCgAE3c/bKWQfFEWl
tTcN+UQ0WeFkJ7fAx0K2MeerVZLZwMc5aRfeafWed5zaE/qs3kE95wrgVijS5+CjCpBQNpOTs3AL
n/Ku2XfLgeJlJ6PufgXWBP+ah17E8GjQ7lypX15pfIiSRO0+in9UbJW73jIRjtkJeIyZnpur4zqr
O+eGIedB4Qsk+5qvGSQw6n+b4XPlYGhlRHLN4oxDWiMZT33g2eGbrYzXkQ5i6/TFM3LPh0abLQ6x
ey2aejtb3Y814gWtElI57BwpSsmHLV3AHOhBkP84B8912wMLlJn3iT98vB9R/mSCPAF4jSyuAjke
mMH8Qtq0yYNPji8w4gsGZ3FPfsxL1t/gLhfz/eJ2CePpZRYpQp631h5YikLKMstDBDnJzpxdGCDq
KvUJYQTixaA8Uufzcopjh9kSXwsYUqDE9ooMgblLLpqDpEPHmMGUlssBj+1z9vd1l+x7nb1VVAXR
GJymOXkTM0eSMW4L7622aMsHHwqGDD8Tg3voq8qdUxndVW+qDC5CvATynW/cceAWTGEAwWdkM6iP
SGpuKIzWcVl/OsAkGpIdhxcMswT4df2T7sdr1vTr0lsEFbxEuMndkL9WFU+hox1QTX0C5ZDY6SpD
dcAlQ3Vq7sYW9bDYyFxv9S27kY1SICVScUfh8V73NtHUF59Rpg7sOwWpJJcUDIsqwRlZQXT+yU/B
GUfZAw7u0e1+AskatNdknw8k+AxaHMjI3XdW+KJKMA4Uqh1Pho70rUB1TRl/JTtrF7rjY9AkxzxB
x1ldOqv/ZYknQdwRp8lVHiWbOOHrCXXUdu4nM6BHma5Cw7vp8ptpogX6nTH6/zZD1SXf9H/OUL2J
vn991+lH/uub6FTkY+10+PUf/w595x9Jqu7faGK11I6pXGF5mFv+kaQq/4ZlXynTtExLuJ5W6r+S
VOXf1PJf+IW2whwirH//R5KqMv/mKqktqgRPeFJp+/+SpKpcclILTN9FvrxO1zS1zfnsag/lBL+d
+accVeHNuLeTGhBDL8etMEkFE6l5b3QcUpUGBCc6vc8nG4pKwuWCJxi7tjOHB4R3rHiz7z4jDy7o
G+/ceChMMOdhXDX7XZA3GqVlF24LQgoYiGC0rGghk6a/TUt/JwB3H4a6YkpsY+TAmnQRlXUQwr9O
FiNvHnIgd6qHV4nuxlhMLEZsfDtGE11sU4zXASIOHyXUKmEVfqSWas+1RLni1OZpTv1i5wYsv2bW
Oo+OGmDj07PEQACOI7Xv1YCFYV8ETJJLE1EUw8w5nfvNHz4Ll78/xn/Lu+xSoBxslrf9X58usiKF
ic1zpLQsk//+h5RaEy1EJb3au5qC8pLiktvksDpR1lXQWjpaXi0xnFeb1iOW227jV0vhZpsagAlM
B+t9E8sPLUgTLYZnsMfj//L6HD5hf373kROalqOUxQVs2v/8+ia7wp4+0MDCCFVVHR5DFdz60PIx
PAXHNggoJnVk7BUmhau2ooHnQrF3sxM8dF551mAR103Q+0c3boqTegW+eVfagXXGlky9h3su0RW9
JmKI1l3e76ijciyTd6ds+o2fOJT0fALYibGXA1jZQbvczVb5ZobmYXTLjmQhYCJzdwkCwgHKdMY0
BhTUcKvp1Ndi38pkumpoD26sWCLXyBA0Uaw8KId80xC5aKmm9m62ZwQvZfRj961xU7BIXIUxqZOu
axGGY9KPISoh6HCPajdZhzNGognJ+lYNMGZ+f0DybO5Xf/3hcPkO//nhO9ryLOkqW9p4F//54bNe
I2olYRsexVQj0EUYHKYHJxCXgjjAEx4lKtPG0XthzlsXc/Q2qKaFx/EsVWZvdZmVABMwiPVOHO0U
mRk0BKOL8TF/0S4CzqaIBB6DQ4iK5YblHboo6QULF96VG+Zd9N4Gqvge7KxpMDZx5vZXAElwV3TE
MOD6FEjRmP/PLkm6C4jfDPOLqTzMHlN9oNPA72Xr6eD7NJRTB8FoSosGSgjsfCTiPV9qXJp1YFU7
XXffIXLH68Kyo2scmW8o6p2dUbRfAcak3W/PYr4YF4GXxFd2NUYAn+TAr2b/h1vpoDusNmwDg22T
IcRPU/cpdGa9yFCsna/AoXTgAhgJUTz99RvFG/Iv75TjwRkl2tqzOMUVR/gfv8aDZAMm8OCDRQ6H
bRDaK5d19Va1aI+ZZV0xsqdG7l90AGV1Eu6VZK5+5cbetWdptCgZdIiuqRvWstNE+/Zp6WpHD1Le
oNIm3sHqayrCmnFyjOibkPP2xNsckxW9iKvSJiPCim6z1hDQe4lbKxFMaSj5jFfs4achHuVJSwe7
jfJL0injYRclusP6bzx6NnJfP2mODlZNOqWapahO630EKD7uZlAvM4Da0RysTZIwcfCKRwRhe1u4
8hD6+ISC6TSzgc6zpN5bRDFjC9k4AmxjViTgZpNXdood1V5X72fV7lvb+zFKNHZI5MSBcS9cxsxh
yp2Lr8msvbXt9rCXDSBlPuse08MNkPs3iLuYP5b2l1SoMc16QAgdY+vTU3CHNsFDdj6dMvbZQ4o+
otOYHZNGwS0tyHDAUS02Aj3QVTiQkheR/QesNWV02LTeujQaAy42KP6+i5dMoHa8zAkY43ncqjpg
bt3b93Mr74tCfgZgj4F5jNvAMV5c23HxWYE5gkYOQI6Am7VtMmGBbgSc0qQHDcfkjeVTeFLs+pgP
JKzA8afXhXBYT/Nn5lbdHJm6viWIHxBVjd94kjUyAgx8JLk4Kp7Xv1+mrgzvnGRvs+UPu6n1vs0S
OHpXk/FU+tXRqmb7yu1JtegFoG26lBpX4IrhyyAVozc1mNdTWLtH2ChUqN0mHYcHpzFuQxntO4TO
DwFcYzjPbDPeSD+FbZFDP00ZBMgsPQ1lF3BgaBRLsPzNFqFVC61rFS727so0HouWtVAxsE5Je0eu
g6g3bybOLxL2zMPgCuIA1LSxmfmimaS6Z5lZAIfzf6Vdeu7b0Nx5VbFPWnl2WvzXZZi8alPcYLeg
w9dXPb0hlrADRY/10BH3uWpYUDKzzj/iSV68lNCtBi1VO+FyCVnfnkiAtDA03Zb9I3pysjND/3Vm
FW37FqQJebVQW3bjqFA/9oe0FXSGrOQgP12VEtdEN0g6qRlhpy7C/eS3l07nxDTbLDsYBR/KsspP
0Q/q//LQa/1su2prkyK4B3n71dn6JZkA/2qboRnpKtMHWakFucveo9HUN6lk8P7Xp9Dv6+CPlZow
OZgcaUNz9IRmO/rPhxA2ejIaFS1/WKULCs6DiyDnY+miOO8arQ95qx/hbmYnyLuosqaBr4irr40c
u3RXOtyrVXBd+fjCbdu8S3Mc4CHbXx3ip8RFzumL9CDtT0mHeEOQzrkdQeqcUhm8K92MNzG115oa
UlzLOAMKFWhrhUtcHVsMnseSfO6ozgDE06q2brqFN0jM1Ny1m3654+mviZdB6RV657Frvzs1dNu/
fkRiKVb/9Igc6dh4UaFm2Obvc/wP5RbESum6BctUP+TE1bzfskRkKQRnXdgGKNwWBQ+C4XGvaRVD
Gx1HVsykQuXxtonO8dh9tpb6ICzjxjLQTEX02Ws3s67/lxcq/psXijPPIwxbO2zE/lR3jdIoqDKw
z5t3fg0ThQg1+JAWN0xaLFnoeTycbY3qizSl9QA7a4Nm5q9fw9Jd/OlhUZW6Lu+14DC3rOU1/uFh
mcIJLKNj6hTW1aFdOCYgWHeFnhqka4pcCSQaSfKU93W+O/29ekDaB4GwDJJbhlTwoSKDaC4f9o1B
RwtaL1frHisEngbecEYl817I4JYBBuOEbGA3/zsbLYexWoahccyXH37/E5/4ZqcQ3pqZMo/T8kO/
IIPKEQdq1ZsR2xfJLj4eb5E1GySLMx+ykfZIKkp0VVW7QRud2Jr6oXRvkbvHR9WwXdceWvAx0rsh
6G+dCumd7MKHmXTTbjK83V8/UuGZ//JQBdU+5b6jLFNrc2kD//hQa3JC8shYhDqz8wkBErk02tR5
GIcrFnb3Ml/QynQjrTSYz7MlSZ0MLaZIXirGwXxucXlW2bU7AMbFp1BllA9AS84iKT1WC+Hd6Kf7
Me6f3YWP67IRqkbwn7P36DMLFZF+skOME27G8GdMPeRr7v282KPYjyOrGNJhQ7BBynbcQzFzqJMB
PIYNpq9jn8cAZcceCltZZH1B+O9WlUtjVPTxcUJWySQ5II+U4tlvkB22jj4WBsBNIJ1jLwHBJ2wH
WJDowTEQZJCfYmKucBCLNN0SBhmHz3bg3I5ZdOwz+SoRBZcWYzqj2FZ2/FHCfkbOl289H1saphMX
PWj9Ffad3NkJFjyjFowJYZo41kgrpyGp8g5sHJfro9Cc27IhVNlCvBCoY5AsZquBa9KzmdL2peyP
mYGgyTROnm5+GqcD2tZFHa+Zrbpmror3QJOfg7HSTwfeHsW6A3f0xM6F8KPODF/HQdNCgCAqkfgr
D+0rA70YT7Kbsmymt4PVReBIv5kxhtGXEoVZI7sOFYz0rMxInfBBbfhin2DL2HQJgHrvF6bIL1sp
ZG2Yqo5FO5xG/9mJiXQqbbJ0A/9iQR3OSJ3f1anud52Yr5CGvPEiXWDElnGrvxqFHjtX5sWl3AqT
QPEKePtwZmOsqLj/XTc5OtdZE0FJbZTauAohSePeGQ6ZJGEk71IwKCuRkl8oQ+NgJY1ziZ6NSb7j
o7T3ho2AQY7vA9J77tL2hlvknrfhk1sJwysj/dm34wvkcpxiMEY2Y47uPGBZP/aA6xzfBgcHAuDO
9tJPxCH+thx5jnPmD2gX9Ifv5jtukl3g6Cuqo+aQs2BGO5+V13pqr1ODVY2FGJ5bzYR0IeZ9nwW3
c6cObpM2tM9Feh5n5wG+9GOR2jWzu/kl8UuWdQp02+QFjxXU0CLNUShkPSBqgwgDpEIxUhHvmjUx
I6+6UZslXVgvvNjuPsP6sUUdR6gD+smVPFfh6F9n6Q2rnkGr7x5sNOVKpDd2773jxGzxQTAUx0g8
y2w6pOOyCl7CuoPyWdEIXrVp/NK2I8hfxTcz5+vBUsqAha/tk2QDg72muQ6McMsNj9KrQwwdDyiJ
yQSs15YDtMH07m2fVYtFXPSQG9594IEwXKQLVvRLVn56ypscP44VsMKBfkeOhDXR+4YYC7FIpzsZ
eACke5QYZjSc1SKSEGCjpBAXa9FrXukER7JAebjFfNKvSqQnw1DAQLTjx7yUA2KYECgDw5OEb+HK
sdm9YWtrYrSvCYuGTebDuM/KH9NgWqDn2eKj2JZ3DgArPIRM2wkcIVETPj0lUpq5r+M0PI6FqU+N
R5QFQiE0YNZxrowK52CQrW0vQgjbPIQxlXBaksHDnkvqAVmXV6w7m2OyBr4we+jLqV+vuiS9C7P3
cBoJR102tDPxyXEAenRMMdgtwV2LdiIOmo8qTYNdSa8NevpVGFNFlHuZHEliWI+VuDITYCzJQINn
cwWtFCj/TY1bA42YBNVPVMdVVpXjycqixchg5UhGFEYDgGvroC5uJovQiHREDwom7RJa3bPEapOZ
w5YgXP+6axVBp0FL7S3gACvI9UmWAENxImbBNtgn12U0gWt9b9+MWy6uagXlOLHYROOwivcTIZ2c
3HzlyY5MMqC+NPQR1Zd3C5fSR5to8qi9qSSlMEBYy+eeOeUdRxIZ0uP8YWt14qLglxUhbUSNfoj3
HLqMQEwLkiqC/x3ypQnmY68Ry2B+v0L91azNIplXBumOFGMtbZE+Mey/Vrp7Hwn2xMWlH5x5RA4Z
6GcBC3/VB/X5ka5suuGmwrOIDAk5ptVZahOhPL5imn83t8ie1EhD4yqSCEeDYMBSbRPLPCumQgHP
b4MCkrFG7NGDeMZxbNRjFsVfQTpyzKtJbuvA2HhuRAvSevLgjegrGjj2OsUek5VQ1JG6/DiDO19X
i6IPBWu2G46kKrMWFfa0l+wiSBWJiLhiqjBnPQy9lqVI10BZ6xcwWk8+IxKeoDFfuewhHcfEborx
QVTOQy+Eu8aZTf9kQLZSaBibeqg2vhfSEYQtXXz5kFgM/gPNvRo7QbZHZftsVnSCJfW5eFHoHK/S
ik677j/a/kjKha4Z/OQUPBHWS2ppcWMGCfYwIyOlpt/j8im2nVEGG7/tybwuzS8M13qbdc6jkLjl
aJ69G6PbwlSACZ2qDls4Q7Mhn2IS0CuSBTh89WDdyVE/DRsHGUDGeXgIw+mMnhwZU50ilAwqlEd1
AeZyRB3TYAx2T6AOo1Vtz+5h7tOjGxq3uPgAWFdzc+xrB6m6alaT506n1kL56xoloLLxF8QhbiWk
N+HCRtdEU7LGnDYdmZpYusv3zHQAXsjmMhhpvANp9VYzSglIBPRLwkWciflcEmBIJYwpQkPlXfee
U+3bInQJu/df9dfYe98cAB3yh+nb9X6s2fL2i6g1bnUNvDHRiMsd5H1Jzlhr1ifLz77clEs4jbZj
GFtrlqz40vq63qQywzNUO59+P0K6gMCzbh3w8/4sUXDXxdIBJx9Z1H3hJm+vPfRv/Vxf9KKNNys2
jmWWHxjpwvqkZFjVasdw4Lvwe3NjOG22N8IWHaWSfOYiFLzWZG84cVEEw5jCizIce79LUIPUt2Gh
Ti42qIlyiSZbGHdeTYwPUQQ9lMOlF5txmsfPnvk8dqm8NuHfrmSdtpgriW+dK7aZTKRZruK8wOkC
ZHxbE9K7h9mG7qBobB6LOTyMjPe4MiJEgUXEVJ4DOm8ZmXrEexTuwodjim4KVZ7BXkd8B3KUPp4s
GZqawxMe2n5fTVOzd/rJv3Knh6r2gda31WGmON92DtNWErxA51njtWiya1RR810oq5fOiPVtDgG7
ay7znH0CQtxbcwNesIGZ1IvsxMzx0kmU6tgeCr6JR08MiOUI3wHqZT5DPqcyRZRqrZrKdVkrhivQ
djhiLUEIlCKME1kNcAN2C57bUrAiPV151gTVMBVM5oJn/GLIJXIEOMZU/MQWQH9b7jjXTX7FTAgF
aj7QeHzRvNvKDemxC1QN2VgwC5qZc6XerR7kfEIrcFWIEP1XA2AgroNLOAzlsY9AAKcTMttK9CvD
08+qDve4Fv0zx01yGisoMsvPTNfzz6MRgvMZU+qrsehPjc0OPDdKa7U1fcxRcHN5phN7GDUO91wl
n8IhULMIZk2RTwhfUcqJER5q8sEFo97182FomukoWY1QvJfnuGl4Jtg2Sc6E61EJf22xenrUsjH2
XVaj2iIQDlbJynfigEmUa19H46Z0XWPnKf0aAvO8TiC9w4g6xFBTWmN8760QtGMQ3CXjXeDKB9EY
BwZO0TZGlAjOq1EXWBpIpJlAd8plf5uNMA09EhgJuXESgIW2xEUQNelKCPvRTPJf6PBnDr/0Qzoh
UYDLSoVRSBRzpRSInQGAjPddPkZgpwp1l096pSIqMgR++Y5lA43NWBkrE4HoYSCvaWU9CBqvKGQ2
MuY3VYnRRrAjOegE63zoBps+X4Rx6F748JHG6ZtohKDoNrfFyJSTe/Tbjm9qz3AQ2C3gzXRsrrNg
2s6tejF1bB0j0yN6Bien5yImtdLy+PslqEk9t3noHGzGVOxkvDVLXluQ2YX+k2wtKJK4Kux9q5mD
o0uzV6J7DrqJTUgRnYbJ3o5CgFIvnnSO8UXkkhqgjYOzSpqF1Wuln5kbJuekyWqkBKTDKpbBo6ib
a+7lAOUEmQZxOzq3RsgQeYqWzU5zb5f4nPPBv3dszIRWOPf7v/+GekbjMTZux0qIGUHuItnpKr1n
zFYDIjatXSWru9az6kPh1I/J3JtXGb6nUwDSdeXy1MnUZG8wdddlmqY3cZmtmzDsD0E6lbsqNeRh
iosXH1H4qjS7r8gMP1T6jV/vPfdR/Wid7BO0UUc/14S8QKr3A+72SQS36PvC87SIp4qCGMA8M5zT
7x8SK624CUggAOQwXqvWeAJD6a5DQPH/RdLDsEFRhPhqW3n5dBOmyyiyYZY6IpEnhFTk92FXviwE
mxMKP9zzlTZ2qTF9Qg7Mj42KxcUEWct9JPEpQOe3tNNdfPwK0FJ84NLQHm86syejIUQeksecNRAq
CNLtQrZj0kSglibh2h7bA2Vc9WhBf6AUv7U1LbeZ8u7WuXway3JbGEBVbAyt6BVp3YSRiVNIvGIa
GGjfMjZmlgOKPXxMlGlvyPT11rVi3k8yn+r0Rg4kHKSz0ew4KX9QG59bi/SSzmrH28GlAu0YIVrc
8o1DbTlHA+BtzMaJ0z2S6LOenSaCvlx2J+IlVwhhorWIwmjvxzbh8gEEEkkkPTIRgxApIoafC5/u
c5bFCCoHukcC9gZBef2s5ZBeUvwcz+O8n3uZvSx/CTxZ46UX5rolGORx7ufoMJXjfbXsB1JVRiup
Zq5los0ZOnjWuQ7bc4UBdx3T5xB3g/EmI4t70wQcWoGZfZvyeUD2cA4w7NgEcc+V3vyesVsNgqao
IPYRFVwJWYufzi2Srbm9IUGkIBI2ZIzfEsopDZeohCmnf0lxfnnYG6SACub2MyYoQch1gtAF/lbJ
vNjduF7pkXfnEJSFCXDo7vmeEe1WIEQibRuoadLS/A+5wMzuiHUyY9Xgiq6lNx4LyEZtaTrnuoBk
RrT3Ne1sGdkcq9pK8Obn4+PUhN+1Y+qznTbuyshAzAQSjHyZ6+HQudW1S47RJbfNhoQPtQQQ8rXW
k3kde2i3deB1AKSgD4Taop/u0OV0LWmq2WC8VDaCzdhPWc4xNYUeld1K205vfQ6vRUWypQ+yj1nB
YKi3+2HbFFOzRfsYAulH4HcTxPMP7F04D23nkd4W/oRW6OyRS9+IVHOEB1iUAnfBKeQVTVrdj+s+
s8vzgJ4eZFZ8ABUnn7AXneVUYbec+f2LVJuvmv4gVgINUR8V99otuJmlxRjNEhn5Pe7eJux3V+K/
R1PK4Ydu+sq07emDSFJ6QBQ+vCHZjQyZBSVtmD8zhAZxEHuvNauqQxlW3UFoBytLTIRFZdv13pzj
bdnO40taYwRqB1Rz+PYI0C5TdEk9+vehHwmlLKb3pvSuI6LpHiVIqFF19qYCuXsofeyAjYXxqk+O
dm0Zj2Yladsm882cbBBwdXI0czZwfbn4poLhDs3EMxssjKc8Xg5zFzvccKwc4Mx+yVwvcyk+yrqN
drpv3wgOQMAo+YZDoOF3cSvuQk2kcc8hjwMBZzUQ1SfXjtuDafJHuAHbOGhnLfYHfSZHrzjN5lPZ
oWlVxNSbhXjJAvM+4S8AxVIyFAwQoSn3EMWFsRpHrVeum5KkIOwtCP4SqmKNGiErkASyOUQHjhpr
0JuCUnq5j2s97vIxxAAcEn3XdjBR+MS3Gj146EzYtCy1TLz7FxvO6TlBtr7oPBiZGh5gBZcNaw3s
Z1tDTMmiaeHuYIvyepKoW0YArcK2PaAH2Q4mVsOWDE2G5kBr27S6HSoPYKtNNKK4asJEHyyCDJBo
1vX+95dwnLD6854Q+QG8HmoiIH8JXz1xX4fl7+GAtz/MR3Ou7xuHn3O09RfhFp/dpJ8C8gE4ySGC
8TucQ5GSdc1aBcTJsDfxmxs5iyo6xtn0vXNIRo8LoD/pJOKtrvjqXbqoLo/CE2xruIPRgkoe1h5u
TzszzmVCVmWvhLnipIE51rV3VjFwfE88NkPlHl+ZNtgUrM+cfmZfrj0yNJJko4jzvAlaH8ngsm4c
Pda0QW3tmH4VJzkCsghzXGcAqEh+hDiQlU25txumsoyoEexlyxPzh5MlkRP4fc3/CrhgzczH3npG
sBcMihg8di0D/Z+8CO2DytGr/yd3Z5IjuZJl2b3UOBlg3wxqokrtVa3vJ4S5ubuwb0VIIReSG6qN
1eFPIIFMIAc1rUkggIjv39yUKnxy373nJnbaX901g9HWH60yrfshSh9HcBf72R9ORkOJodAGQDuF
VtJpciuVdzOsNrhZmPhR4hJe7Rg6tl1rkmlVqYCLC1WGRSR0Zqgx+fr0LcFH7Tv9vQxEh5HutbYz
8ExNcufPfINkM6wJt+QyHR280PFEPwfpC/an0/RlrA96b9R3WVVjiXR8ve2C6EE4VFdoh71w5kX6
idmy2JNvm0lW3Xgjc79dbJYcFFxQ/7fc8oX+1VxRZ2t2o7tvoBBVvftoOMA3eREeQ4fGV6q/1M4L
Z+L9JktLMgYp9t7c5AfIYNGb8ADgAReYDftRbEc7y8+hym5ycu1DkEKdrazglEh5nnvuwUtWI8mQ
TmLtS5rIRVxwjBvCU8N31WsYWo2vbt1pa7d+y9IE8knXMzzppNirtvRiWXhJDDWOUoB1JyrN6Kym
PuLxStHuI25I9FT+Vg1GrApkXeHC1eQCrzZGwuFBOBU/UEtAXqrl4rQ3Gbb2qR2NH1n7uAjk69wI
/8k3k1csSt1dlJtkvExQG3PucjnqMc7QUUIvuu7wMOeILl5ePxKlDDc5RZFDz4H7D4AAVDlelPR1
yFrak0asEWq2PlxYkeC4i1NSOOGlbcgXpVH3yrjhC1o7iDXOO09/OsPc3Eb+PWBv0fzM5tCY4UPV
MmOBlcbiipd97xhFcfvnP4RpVjHaosUOPefByf0LDoGPgUXcrT8huV3yhFRptKh9b+Mbmubkw5oK
BbyIRjo3934W5IvNWoQhlc0QwcoODmLpHaMVttSNzId4HRhmQtqYLPvLVdAT1LDcjNR5zhLA8rQI
TSSjNkNAIT33VeqXHbpDIqMBa8VPPGFB3fLFwHpjN/Pe1MGNN+RzwTnBM6PCE5ih+c4zu293yAkY
KytEq7BAy8C3y5vhmNAetfNaDMhgiqpLMgakSKV9FwgIo8uSuVuSDvmuXiCXcQpsPXJ/H0lhP/ZJ
cGtpgb2Y0pcPQdL/cfshhaOPwcIhkHrEGfTjCYynlc5/2WZzyvFLwOiW0V2BTaIENxr13WdhlG/c
SWmLKiKajYNtZFX1uQ2jS1ZQcQopMgGogVGky6NhP5HyilG6hw+HbKd0HfC/wFvnsqBO2NPz1RoR
RGr+bbjorJdnupzaONHDyenpXc81XX/1sg7EkGN61NNbBfBCUfRXNXSD9KM/UD/xN+nz6nWxl9+k
bV3UbmSKMGTHKuiaH4gUhrZ7tAr6gzhKJBYa3JrObp7S8VyTxzuPCsJYDbo1tqLfc0QvMrlczs5W
5zfh2i2wg+6lWyQTouvz7HhQf5sq2FeuPpWA9gGqEBIzjOR5xop4cyxE9Ub33rPrGdM+xZUYdx3H
VUHBfJp9SOFA9g1BGQIcjOILvzLKBXWraPMmAx2eSPQVx7DgHdjr4dg7lOXodHjta6oQ0iZcLovz
3PvMC37Yq0M3twJ+/z9sK75rNkvbdV226zLYOi3myYdOhjN3Tf2uPLpqx/lNDHpnkXxfUvmmbKDb
C8VPUaB3wCGesgw+Y++Sv1yQ4zbhMQeVgEUwnbfj9F23jAodCLOdP2HLlPVTi5IVjxNNPDIjE+Lq
tQGsqL9kRodKApuRhR5yTKCTXRN2Pwh/W6v27pOWaYaejjnxftU8HNv1h8kZ7og38fZ1Kn7KlriV
Ez1XTvLcSwhqSFaOzhuCQI6+dap+r8rgXi+QvLCX6q1Ko/ZoqwWE2Iog7BrzdXaz/tl21B2YkcVb
p9zhphoYJ4UPhGPKguII4JbcE6cj1iqMU0TN/5bdWO4rAn00DKmT0tB/yiK5Ez3MDjKtHD6iOFty
+WmriSdHIjAOcAPHDLknNa2HXgxfzYRQ2PqAmINvmXkf5PO7qaC8S+O8oChgvnW+eVf08B1zm7YQ
AL/CZ9uQV80rgWAYlvX4SJ2rOJUhbFTJdoiZY5/VDumilKhTO8fSXq8n4xs0FMYrRr4JU06vg2cA
iB/+AHN+SCP26lP2Y0jxHCAOERcI673M1rzQ8tCYLstZ5axNHA4zFrKRHvJy65m8l1GQ0/0wwJdk
7iXuOnEu0kITPKLfbvvQeTA63gVMkwETBt8tOLvbVjThlh0tMwiX3tlGieEvmKxWdyN8AYzXBWqb
NeKS4nr7N/5LM3GL8Tbcvz8xCT64A1VdxFiAw1mHydOnka9uNNwNVXYbng6hM+F1ggBc63MK8HVT
nvW1pFdpY3OlXsb52y6s96xx31zY4m2orrKyT+by102HQ2HkL1RvvXTCnLb/ZroopF3lc7UWAYs8
NOO29Z8jpzkTtH/JWRSSkr9TyVL/h9fw/1t3PMaV/9kc/3/+fZB/+v5P9pP+F3M8/9Cf70Guful/
WbTW2ZGNO9r0fJ//Zfqz/i/RvzwWXmaEjyLASMHF9j+98W70LxP8qhc5tm8FVhjgwRgaJdP//b9c
/19OEJo4f3iwbOZr5//FG89B8t8tujaGeP4dWLdZyLBxc/6rnSMXNJiEC4SPRIDrNc262rerp8Pg
ztIwUl+0zneh925rkzrKeT6JGaHa07x7+br7vn+knK87BB1baMk7ZObL76BHH9xV1SjDmjmQYuqA
MjH8FimxO0YPZ/FOrkjuQSs8SZWFsHnsN+WVL8yR7PRs/G8pOsMk2bBNtdoLUWzUtJYGO9nj6FaP
esEMI2y+4kX2D2XzOwml3NoT/jYsXV9YP5bNMHX5lr2d5T3gp/U3QUjpiopoiagg6BR97R10QQAL
Yl0n6Ado1HtZcQ72Y/Q3tC3EF1/Ik2zua1duwatbd2HkpxuRRCcvS+gadsApRW0+ESpkK1sHMj1q
E7Unog/EUg5V0a/DboVtPXHtJdR/n1bkA1rSziuHq8MDjA4ru9vQLk+lOd98P71DZn6r6o70gCg+
rBR4iSM/XN42OxoAyQ3mSVysDRWlRRDGMpC2e2JEnvmshbfEwYyVCahkDJsJpXyMYqhvV68N6H0C
oR1LE/M93YgI6Bxsspfr8oeCBG/iLe1PhJHq2icTay/Xdkybky0heaBpbiwFsSAj2Zzju2bRWEIW
DifBAZMA/OLeZzq4ShbJkmUM58fRrKyYi8GVSd6il/p3jRRKm4Px11l4Q1uaC8RQFF7cc6/f+E5j
XwOEBuaTPIwXUf9kGR7NuSCxn6RWzN5VA1GBdtH3rAnh6yw7R5+7nFXiOFLOEWXmqwMlLKZlgwtb
Yx0tqIp8Qhj4wrW2ZfTFchgH1DMzjEDp8id5zdZejHHvzqC3bLbA0nV5nVBfgK3ZiPExjayeI31n
pfmLTqKnCqcROVu6Bhp4Txz3Hr7yIxUTAgJYBM4Vnpmv+AzIUo4ieAxhwOydJaEEzhFUBMOCDAzS
iqYki87lDhYey5vGCdNd6Bd/EnL2J0uQlRjSNZtqYTSvs3aLiCW2EusQpIseqJMcvb3j9g+mo6f9
ZBd4yQuaknQYfcFfYxOtpPUaLfk7Qf+ZjFVm7dDUljrYYSnGVeTojnmrT/eJ5Zas7SbynuRJFd3R
5y6zIUfaI0hAphDiz/ZCZLchR1VScJAZNFfnbuwWjfEUubz1Zp/cptcXdFwAEoBCk8cja6O4o1dP
hyNsB5PQnSadR4WEBe6anqXOAwLawc7WSBhpTsYW3vELXrqNsuWjAu5zsIo8llY5QEV1fmy75g3p
j0fHzwvC8yaslXaLPxsWga9JroCu2U4Jo0jDpE357gLECuj0IGncjlrEf8PGQWP6IRHBpY0HSHAH
uyALBCQBLQLrc9I+6aVP332zeM35+LB0UWzWm9kjrFDK36Qgd76sYWowSXxWIOrcoxZAA1rlgfIk
648GETaoCw48XWUDHivomOUY9D0oCbBS8k3HloTwEBeBOik+htL6TqOqpHWt+l1mzMC1TAOWftnE
R2HYYH3OeWQMOzzVUB99yn1C3M16NO/nvnsauxD4bgpRkMKkW5e/904L/jzPT62d/maDdBk7id8G
xMG2wrLjeSPxZZG/YIgEn8HRAK7OAZse+ndW5eKFkSg1Uk8xVfDcQ7P8zW2chLcCX6Mw5P5H+vQ7
IX18ttkCWNzDu6m9y2w8eXliXJpx3vOXnE72YIEw3UcO1DtNkgmBn4k4kmN74LXwXuLtoO2SoQgg
M3FA/a2SkNWbHZCHbsR7ly5nC/lgO5iAM1TjgNYT2TXB8AqvoMjbS03WB36Kwe2wz/bDWHdx0+G3
TNupjhFE7bNOuOaFODlMDmk6mbAltfmD103VIahDCh8z2kpLSaw7Tb1jgLzCCWSRlWmJP7gBtxtW
f1imQTbKjqUzSN3Fw+/X7BSlV8eyQ4ftpXWr1lKHsByzm0UHkY+SYVD/AqoOG1vonEPDhSDOFWAL
CpQi9HJ4y/x3j7yrW5ZsV9mcn0ZZHLIyoopuFle4UGv+15UYnzDfON5TM3Z/zQ5HasZ1AtSheR1d
Lk5VhM6iDTIGEeRmciFDLg9W6wFuY1PNJ6ge0HPWJ6s8m4535jo7b0GO36Pfidj2cnyi/YalN9P/
cieCxHue5DUscjAW+czjagNT8LgQSZnDVWphqEW15AeAUZC0bNaDEhGtc5yD7dGPMZhomdFGWvLL
ERp1Zw4IswyC8LxTYb5UIbdU5690SzyphvWZFhmUMBb3XHEes37ZAY/CH+DkCX3002GdqGknkDE3
xTCu4JuDw8UGNI4fGRuDuBjZqlL7uLbQpHiJwKxmeboGSEwS4YD5Ow7BDgl8Uyvzkrafk9InlrhH
q6GXtjI5GcDpx4FyWA9BV8PV25K5aF5NdlHcMHgK0ix7SqGanGFm49GC3ozR8AAodIgR8ifEYh7r
EJ+dNTyyU4oMvezcRjyILseBDayoUq9uS+eLkxYHP0h/Od5gxkmHJoLy3G3Ssav2LrLuLAp9nl3v
GkTBK1MWQ/r7nERQq/gEUuaI1iRRl1oBk5n37XhEzkDFfAeDCUcZl3kYDEftGsepw+lKwVTpwGbL
uu8xta8D2KQHnEhXifw99zlQghHadV0g4I8r8VrjpWnqOwzkWAaldYG9NbHcqHk1UnBZzCE4PJdq
He3iPUCeIX2u77WtSC1LvHAjxfGcg/GMfeooseiMk/9QdAgTMmMJ7szBgU3kynNDL9LccmpCNL22
yh2Gy7ULws5OxhjseSnhehR+fqTZ6s18D/1yJXNNIVgYVlIF7qIlwyEliKZkk3jr2bzRvVUm1A7O
n8wwxNJZy23aPHsHKEtab/XNAM45GhY/eDbQR6Lqv/Y4PgtucXvbmV/NYeh3kwmZrxgfWLEvW2XT
r1eY08cyVeHOKRxsSV0rb/M0z5j48Ju6FnahhQeMe91yFlmASdIDu0YLn3md1h49pCN/lWnFrQa5
3JdYm3zC26QO232BPZx5owxAy68F84YL+dNntaQrokguVP8qH3zM5Zh/fZdWvWEmMw5vzbfZj6T4
54gjONFTkhRUteCbdGvBlt18leYb1HlxJhYXSUz++QR5t4QNWrOxPGkrZ7eNFFHWvne22B9u5gYH
6cAE3/ZhxBwJ6DSMLJu3bwDwajzUbUD3mR+9RWL6bWhx5ao4Uv5jHUYdVafUJ/rfLrVzyQ3Al50f
LrQWwt0w5HAPLuJQV8O+OiR8OPdDMtwLYy4x/lbFAbCdGMrToPo/og1ZBVJD5JuoK7n/XUkzOQZD
8gyFMdlEM0hqE76XmcDe67EbGIjiraofPMt2t15rNbGzLAwbNFtjF1+88r2Bj8R0Cv55NQURYhoP
kdD7IEIEdtlF8tAWN9ywToa/KFw4ap2B1iFjrSIt2CtxM7A43qpKH+GGI07iSuXljkM7uKQTJ0cC
yI5N32CfS4CWYZGBf3X3YNxqbPnY84q8T7f2ajzCCwmBjCI5/DT9T+FmoKWWZbon87DJfOQxQigw
WkRHu1PZHvL0MpuUWg0FBIPEB1/k+s3ZnSj1yduz6icBxUAdDbtl+RW4nHuSX1qqoTcwIGOlCvPt
NKYfjXnyq1XeGBrYkHX/Fz0JqgfBhxOefUy82v7rIVeiDzfsmfvi6guOvkKBQFN0Vqy8gKpGYqQ1
st6NwfxhjhW4b1IigWrujSFVhyxfXsg9I4ZOhDeyOT/L9bcQpdnZgqJyKdyGXHS9nzrnRxqYF226
AxJgy4y+0TsLu18FFcfbycKIqNlpVMnfdc7uO/m3rLFwafadGw9yf9ykthcH0VE5MOsN1673XpgT
YmsJRUELaA2gJKkbvtmUZBCv88/BLNB3SEJx3j3PK6CzcgFJzxhTC+OvquWXJsCTcz/wA05zp3Xu
gurSzXo+hNUVVj3BJ9bu/DqbS1gT/uuBMkjH/Ta4Ie/8KDxRtODuh8m9tyvx5ATMs9h1ttYwfeOo
/hsm+lBkmpaMnh0KeWpafBom8LppJ65aJBMd5kHMHylmk8oBeIlpng4FXhLLVzkaR8sF6TEr66xY
OxdT3p0IJyWHvOVb1ie4zojeySmn3J6eUZXHdU+uWxJ0jQjSbmunexoYfWIh2/sUntpxssl/+wGv
4F6BGoLSCsGkph9nVWzlJg28PxrXxNFa4T+eNQUgeQDwRBPRWL8FH0MtpjyNFTHuuTWflBVREMm1
VhB2YKvRbpOqXk5a5L9706ZKcrJH+ghTpO3Z+Ai99B5iI0dp7/IqKvjTIEaNQj72uEuPSehei8a/
E1Gg7kunjxNrBYdwYGzDF07DKK6pxNrOi8f4ied3Vwir3WEvjKdxek10XhMpxIFf+z2Xt544Cobj
bJOPZnHpfc9F1tO/yfI0B39kSS+94lKB4LdHMT7AtRzuuxGqorehwNJ4mXigdm6WDwiv+kcFmEld
62HoYcTdke7SZ8dI+FgpjwRzRHJjTqYnxzBfQ9n8OH1GJrPjTFEcZ8l4NEwqjXGmPPclX56wCn/A
7jAVlK/GIjlvBvXGGAOX2GZy8FL4+n6gUXqjINq4GoZQiAY+5fjWjUXfUygfN5mZHELX+Ta4Zjj2
dPSosMhdC8A6xOy+5EOtFpazwXyvPMz21gyod6AozmF9vLFr5W7BGecXG+/l4nKzqpK1vIW7q+EN
Z23XLY3tdXvQCmu2FdRMt46tDsxtz35CRVsydAgGYOTp0fi0IICRtUsryppfjMl1jkI6zzZYbWHB
6sOkVlErSC0ip8TRoCA4hcl0w4oJNNO4o7U1aPlx6rHemW10zYC+bScYvHsc8AmRRvDomAUW6yYp
xmnZYsAgiwYOuuLWUfO0WfjMUY+6k0lzUUJgPr/MdmrvstA4+ilJFdYPJTVGE0ug9UMBNuaR6kGB
lTUzfAj2jfEbR2tWtNt0am9m218c6d/nAAu2qNWEHgni5AF0zrnBbCmIcG7cIMe6oMHEMHHt05p+
kta5un54pcfiLZqZpGYkm14xi4+dz+0gj1aO5WlYF/g+O+Z1z7x4kFCSBZ5D1mCWsh33qwXPZhml
OCtFELVz6S/qV5Qp7zsyX86WzCh7Up3EZWe4WxrpPnBJgrohZ34Mx21piuSkw73hEWCB4S98Yj+G
pJi8pLJVsAoVjTy4QXVXzuPNy7pTOeq7alpPfXdRXIJwclMW/yEyPuIsSdYlx3xaiVlYHY1L6Uff
iqrKZZiHbaf1WZX8yNSTpcidiM79O60ziRFwloV/cCVu2kxg9eOiBx8V0aVyMZ601IZGrBlbL8Lf
aeF5AHeBqxWDfVBnYtsNLA798VUtd9wXYSFWBlA2rMHmGDz6mT4PHFdxubrBlx4DBAPwdjaZhAPQ
6zu4PnGfQm6E8qeR1firJbzMjZSSD9b4TxKzPEuV+ldBmoMcEDudorCe60fYV3LTBPlXNEm2VOYj
LSWsOl0Q3nUSfo6iZlnLOy6Z+2nHJZHAAg2NS9+TJE6LfRIFfE6R/+15p8lRX6FKj+SOX32uIUxq
2TlvrFNQrR2pLUWFENkUOL/NxCu+sMi3WE7D7dD5XXGR4m6SLfIDvYjIOG2LZq7P/Hj73MSMProh
t2L9KySgxtvD33mSkq6UZ4mL1iYxSiCMIydv6mPuMIIbNDkMIF5xz/MaxVV4aEBGbVND2YfByD9w
WdF5BHWNBsbflJK9K7NTZy/0/hpucDaQ33RufRRRsbrpMDUPBiZNDDIJfdxhwNUzISSsSO+v8OYq
u4QtZmIxdndjCpmkc+tpH8JNO5ClDzYUjV9MhRd1LoqnQGgMWwt95AV6YdS2473JdLzAchdGSWuI
B/uSOgGCK/BtA2m5TyogWxlyk2upasEdXRCgTk1g4GHCPO7GowAR14bmdw6LLeaRQZhgGdXPjH/2
S2DAn50aDgD2edtU1sxb0LVlAUfPmIlNFh7U6IWk8Rg9lo0mNRxNP8WDXdb1h8NQ5adPDnJU3PYm
ZQZp9aww0zHfEzaekzd34mSwQ/dkwPNl2boMm8jsUC5Eu+zqgX7WdngXVv7oR0RypzBs9kS1Tjjy
2LVQG38Zceuj8rH0Gsv6nHjRl1r4/yzqx8Q+SKVPcja2NcYMNo7r19NPfwdB/Twayy9XORV5PH4n
0OlU+tb5V9NJzMPcgUqHL8DZNdByGf3VJSRVYdgfLfvfpsTGy0qUdAYNZg6UOIfq4q3Sxo4NYn8N
kFqNnGMOMxRYlByrSEohzlESnEuMCah5f+JbjNPdCD/5cfoDH35sWxgTqALA6BXtAtc6OYX/m/Cx
kWIlg7qB9reGEOvVlRFM00UKfj7HCq+wL6vY7Hiaqe/6WRoOpMymHiIjDswM8bsQS7uNOufJEr67
cdu12oxpcrJZFGeBdyDfcTb10h2sEX8G7B53I0KPPzGvd9ozXtLFuYmguMi2tBjxWG4LZzeGYwkB
fGRUTPSR3hLk3tScHikEts98yzFaNu5HiLxwF83BVWau3qDoqB2L38JCGhy8sTtXqosH6RNUaOrH
qpg+dd99+Wj0xlsHVM6YsJfSsneE6wt89mE0wLF6IrnLk/xVVMioZQK4mx8CDfxDKD+Gov8r6OZP
oXOuBkXyWvhvo/QY381shJaaXSuZPQ4EA3Yg1lAjo/pWE6CkZEZvZchpzJDHt3Wyf/XtnyQF2Ulz
QBJXprEqJxTUpq85dUYbeyrcbdJ/KsJGVOuZsagGxGmHrgExYla0KJmCkPybvfq2cm0L+3X20OQH
aSzXeTSf0p66yqR5H1xilSOuFIpYRIxh+4hXSJxavNpdPfFyqDHxVj0bH1lPF+wcxotLEjimwNbh
0zmjMb+U/JSlmoP9kHfQDNLhCxY494cAZmcTcbOprPNEbPAyT8ATBUNsDiAary2pjsKKzbl/H83a
OvcEZU3Lzh6N2n/0Cnw19fr5enbE4afvECgWyp2qMrZ97OdZeisc48kmr4o2kZrU1VQnXTR4oLzH
8Fk3uDFR175DaISTNX95+XypOHS8Ij14bJyjOhL8/p8n2Bjd4jyU1kSzJLd/JlFHuZREsCguiCg3
fnc3QA6lk3Q9fxY268SbAGyTAlgDHuguJ8/qLzbvLMuJ7pvC/uUbywu4nioeLYkNXu49KtR3EL8J
s95hc9h7RXUw5rF5lvVAYCvHuyzEXZkeJ2KeWwlwMDOrv2VIZxB6whWcOp5c0ZXXLOSvOslj2Fbm
fbCEn8kYhYByCZIQ9huOOe8PGzXlubYheqKsHQhWGNRSnw1QD3Ei8RrO0b2P6ydOc4wgbtPPT4pC
dc4XcewQfjfYuVEGLkMf1peRWV3nC/Y4NtY5679pzccUJlaVxAyewtp96j0BCdiWDx0i+blcnReK
Bhp4bgv01TRAWA8+bdDoN/JEh95LbzS31IBkWYiMQ/45EfvpvAMHCwW+ZeNc6EfdeOb80gegdiHm
IOyOKokHfhmDMo/+lD4nHdagqPfuCX7tFlg9V+WqBz2AVYxscrZDR/KsivKD+ETxh0/QJGiI7BpU
oX+lbve3sWwI0YM+kux9D3uypq3zB3otMcSan7+zBIC/FMtwqeJ2yU/smqzrouVnMLS3YqqcXSk0
iE7SMMHEoGK093ZeHdE0cJAKtna922/R1+ZjmFLZJht9PwwINZU3HeCtj7sq9+AGd8WLrqP0odUc
MZg+CWzQqmXSHOAi6D51BoaQHO8CZp8tCBDBpY0FLIXbqqhgkaW9t0uzJGY36oYI4MREQ9CY7q6f
Q4tX/bpedY6T6Qm2Tq9uaXzPrDwsVf0xkuBEavpYQrSkLDc9YMCdNpXDTNWWH8bJ6TqxK1TgxUuI
WboaCfp2PK8j265fz7bvBpQ0Mss1Dk7wEjBYTcFo21JyMRluxHtSx5PBSDnxeot5GT3gBqGIRjTO
Z66ugRI7L1XVI94T0POaf1aw+HVKn6qmML0Fs/9UKphPjRS8uFfPvupaZj6JLmkZf2vVfEfmbJPc
WqgBaSLku6K7UvI9cqVyXwnB+EgzeXh0K8o76BjFFO/bP8QmR1oeKIg2RAPUItDDvUVNrLNkgLQr
K9yRRmdiG4Zph4RMjqeVMbbYtRC19dnQLlMH+sUrviPmd4I5B8uK9E4jyiuAzqPn4xHh7c3VIH+3
kdYBIJJCBhSw5VzBUiTMn7kJDm1OqGHonebAuH0FKl3z5Ht0g+WANvktnujWOkoPcnEf8TfhXWWA
qV7lBFrQwsI8prhej1iCca0G+w5Wyl0ShqcsTF4sL3z3RHe1esg4lI3esz/bKCWqJ0kTTNVzmvQa
B68qQCiNlhcj137X/uRdfRc/v5veV3ym4PH7nFWy+OjoUUSHJ80SGSfXE3cVJjcCzwMQO6TfjI5e
X5ne52TxBPcK8nhSAAQtym++O0FsK14pk+U84i/47TadzbNa36f8WMRpaRm3+3OtFr7h/jVKqS9a
+0Pa4EtMFSqVw4ogITdbZ729C7uMg2mij6m2smd8GsPWi1IeM9VSFUthhGZTevJK9wRfgDQ25u68
fGJd8R5JfKMpHGnw84KqNtTHuIMqskmNNRReI9amFeR+DKXrsoMxibc0bqK+ADWVhYBkl+5oWc7V
HvTwWKXpn+ixT+/B977UGfcLs4DMb1TjdgyyZ0BkyWaBhnbQ3qPhGdxfeEYdi7S6ac+8uEbzfQxD
iA0aMVSwPXDTLOL20JRs2Af/kTHEIn6xD73iY07BqXB51/HsUN5R1cG9H9kf7BKjnbTMKw1VT8rL
1U4pE3kJTACEH/OExDhfR0eUXFpbGAJp4jxEUXcMtfHZR5wTPVurrV1DAuci8WiiYD9kE8NegTmZ
rBo4/LVTb1q+ZIKThCb3L9+u1JVgLMOdqL9HtUBu0D1bowWnBIrIQF4vjTW/XrF0P7SCZUcYENfM
oHaFDeUGernzEfFkDG75lvZcRLOI9uasDQZSbm7J+RsbLkj4IlBmPPncDgyTfXSdrax78ek0JxUi
VQz52Q/vh8xDMm7TNZUx7yuj+00bYgpuvIOk4+YtFJoGSS9d/eQ+5RaUGPGiS5OrzbtrGYtdkKEM
mKymy6ZNLyFTTOQOyY781rxNqLHlWqSZumaxC7SMobv/KoLOpxLlsygC81QSlDioon3uE1BDPXE0
2iDpSmq5e6ZoZnRyw9BK7fnFyaGZ8/NVpd9touanF+qlTplkmXQaajWZTtyaRBmEkOfBZ8oexhXQ
3aDh9iX1ciCANnRpk37wvOoc+k0ft5odeElUbOmRHbvJ3+m59NnBp80OfwoiB9Bj+XuoqLZQY4M+
wmDVAqrbwb1u4k4iu/uJiW4UQu638xIDM/EAW7NV9w6sMDlVcmliKcme504tBz8fDlwG7SOvQm+s
dmYPWNp1xWX2HpWspmPfF7xyauKjhlxc8G811b0r2ciOlLkvhVj2VjScy96wDtoysG5X7dGY6h+t
DSqijTnaChcr46BEv0s9VuJzTXk53ajgcrHZUOuAM8JFeUxzLtd13f6QOoYP45LG8FdD0UiK157c
PTx1/hiLXI5cd49rZi2B1ot2wvMJiGqgb6AVOBES13qfCsoJW/wIe2L95ZbYVh0bxR/pW6D0F3fd
7/1KFp5J4M+PlPzgYpKedQOb/RiBrtrQhKnLCyMwBoLMf8oi58+Y0G8wCAvA9rlecmroSqpfl9WH
IInxrep8BSQ/+I2hh2a+5D0zDH5ryjiHLSGpepbunqyP7IfwLG0kY2dcRhZ0lCMmqcbTT5qQ3AA2
zArkZM9UpAktshj7HlcgOR1z7J4D9AZFBLxdF+SiDaDujKSLA86cbv4VUT9JJmS+GetQUoKAp5nl
Z6kbexc4TF4pvjGszZSI2MYdH0F3gTHm8qRFKb97Qm/nufBqJlvO5Npyd0OXfGcE4wHC3CYWZUDu
WM4W1fxLJPp9DOS4syOQ3y2QzCYn+a9tU+1srbHLl446RNJqN2zyAKk1jxQfavS75kxrW3aACo5n
ZMSo0+aBvR0JeWe62vMc7UfCGzu2Q/ijneE95W0QhzTRbrXj5I/VrdnOhts+ewsCcCHgZiDp2USB
TkXAOpwtppOVFGpO/oeg0ICagx4PwJIfc49LTQuQDVsauSOtviM2N5TlASJg41WdIsFcNcDnmKNM
btuprXedjab9FCXD8Nx0hCCNK1Dzq6vyZdfiJxPt/RxW3kEZ6i+aVQeBpkUNdhi0i9ze53Pym6CG
zZt+ei1SeN4ujo+OtcjYghzHIEJVUjHz4RRcIdL0w/a9/hKUvPEtui1NRBrpEfXhhi8vwCL+L2Xn
tRs7k2bZd5l7FsigCRLo6YtMJtMpU1460g0hS+/JoHn6XjxdA0z1YAbTQN0c95ekJMN8e++1d7Oi
Ryak51TnYO1OPOKpkdhH/BEnucdSz3EsWnhIaSpmhu8+dE77YBrECjKJFZ69dWfhrmESSFFQHjSx
dmjT1rt4FQNKB29VHNX3I9g9CguZ9HBTYMJSpXdeqM2Bgdy3TSSqoIkKqVWUMTQaqV501dzXvajc
1fMuwjcBxEO2frtLMFU8pGBFbd0yLsLRAolevlVLClEx4WPG6LdPpLhXyUiMhm2OnWQ+GyxARtVA
gFsuUUsh2jyQ9LdjG9b+nD80wnZ8t1k+ElHO+7iMd3pW3MTTaF+j8cNae+nHXH8cB2+8QUc94qvs
N4OTNlswrchY6XJZBAFetjpaT1j4Zo1zddiPu67XT5nVn6OK4wOOilWmpAncNUJMJ9yvZKHxVKyv
kGUwUdPWWtowTj69Qr6EY1eTXCGlYWvVWY/yx7qOfucBNCE4WLFLjVpuwwEXCR+sG4rxHZfWl6a1
H1bDD1kvyWBEGWwpjHYfeJ6Pk0UjiYhqnIH2T2dmPbxeAco+zO+7sMR4z0MEMTllkm9d5PRbWQxR
OfKSdu6BHBc0oAZtSohhWj3bS0yNqtcQvpmq2zBPSGtT6XpIq0M+Fw+zUvvMg6k4pp+T1cH3SJKn
usMXynl1y7qhfNNRp8aOX6jcDs9ZeiVPzLHXSZWfG2EgUse6CmSVTSQS4zzqilNbp+wdJod3mxoX
FFy1SSrY/qPJYDl0sMs5GcgEg2lXTRzFsVp2Xqd+Fg3397KwH4d2OMgI/ijmTORYk2xfRpJzOwzt
KSoCx6vLqwpBNeEfq/cx6VegV97WyPgMXCMW54xqVALX5inV79uETxMJmhkRMJF97HTnRmjY3vgi
/dCldRdxgN3XyzocEai6TO2jIE0sIAAcVlNnzs4Du5+yMNOFPY7xOgZAQuqOdUTn9xa8sDpHSN8G
zelX/YcajatnM+OPS/MgHEWW32G0Z8GY9+kBei4r8CMOTM4KIv+Y4B8aIITNTr3T3MW4SaHwDQ6p
L8L9KNIJtX+5KUCrm5jGXcyevfnmNPnJxgOM9Quoqa7tdAgGemmFJ+JPvnQCK9o3Tv/I6LZ8FQZz
ZFyWHfyMY5cNj5gdA+GGFHTmzitPQLeNs+XbS6Y7oprfjczQHnQ9BoB8rll3oZtsNVpKdHj7uGR0
zgfjJa0petJibol0tm0M6rVBjBWvY+Kc+C5QynHO475Ehe6zlWpEqF2j8cY1b2H1gROxEnjdiC3u
wHA8Lw9hlH6mMI4ZjVqkk2ZO56lBiU1mcpap/aWW3jEZGXzSB7VVZezhHOWesW2ZCPkdvN5dvl4W
hjTlqIqW5BBP2VUt9mTpQjeCL3IvsJgt8dwc5VwfqBqaDoY7s3wQYenNq6q5euPbWEUt+ZG1FWew
Bb8CIi936UL/dDgoaWXs69pSUfKRfDAgHc9x+5Azd7Y7ctv9ElMbNctDZJCz1Qa2cSuM8Pk5tNUB
mHLnmGb2wr2TtbjMzcSzbVjNzaKlu9m+hPly1+R1DN3aMLHScq/GzjDs6ig+dbFJ4dsyP+fu2O4U
ZzQ2XJGRUlmtEon8qLOeT4HQ0Mjce085hs2lUox+V6PT9k51A9aFTEnTZTvwtlM0vcExfMwrTe1t
A7u3NtOHrI0q6NnTU25je2lQ0IO5dtPVRXhZZVYJIZXYI0kujt3Tup1VGq289apG2p63GY209Tn+
3dvs377OCBrpIYFvGmvXEtfewaTeib6Uzz5bj6RrheDkhek25hi3FZakCNzuF2K+vFjIx37LOcej
RF1r1T0cwt/1D/I0nQ6ZGn4mMcFPAn1yisX44i24Q5aEXFSZmfuF0D69pFiZeL99N2PTcAvaB80f
rLQL2WB64Bz5kRocEZhXl0fUR0x0Vt7DY8EV5Mbelfn4FkxhtglDE2890qMDuKdd9qaTqD9GSs83
641f8aRSZG7cEEoHSVhY8yYj0rROynImW+Ylqfg+XISMMvc1HeGTcHkdQOzB9hTqL0T2AEyu1Kdo
Ko/mTNMybnsrUIK3JamjS+52eTACIQkTHK5LFFHOaIkz0/UKR6gwmS3AqOLYzPmyu9YRuVqcHiE7
/olq3rPlOo9Rq5O5c64z7CFmqiTQHTkcY8ylB7wffHPgG1ZaquFDAN5zcKbLr8m/E2OfizY79pMV
WLaFvXaZpr1bHmBx0jXvDWCmTV0LdGnApFX63kz7J4e+TJDQ6aHGq0gimMShKtEmOJezQDSkg/Tu
PBuDOMjGPtGigmbOAXTNq9ILhxYFcSAPqO96JIAH0Af/f2DapMZckgFVQ81TB+caD9Yh4gJHxpQl
YqYfsDWg3CHWfmWl0xwbQUFaUrb3Id+drci/MUXeikxHynO9D9rehF9rik3AKLpTFxK4K9EnFVaL
gLxilcnohsf3vrQzwT3ecXzaagKgG+JAOpgohZN/hR6zSO7i3rZ1nObCcRYrBFmnfjQzAtN0CcUe
lw2AEVEQ0ljXY7VuUGS+UvlgqeKdgiaxt6MSJV+7H/gEfWyfy5bLC8AI+GqOe0hybrYABiEqKCql
vWIlDYU4R4pjYuIhayUtz6q+DoUiGRpq8T4yE9ZyGQXQn2CRF/kDm1i+qx0Fn7Q+AjQ7xTCs+yn9
0wpjxLRDYXvawPYwGe1uplR3fJH3L33CpQRnxMxeQrcJqgm5NGNT2+LesCoiCOoFxIn2OuCZkt5w
MWck1PUgzejdeR1We8DSHidvuLFUJzFuwE5HryiAKwLlDXW0lxFMJbbcN+4Z33peA+aTOGV18UzH
LSHoAuhoVi2+Nwwo0TEuAzYRTgRW3a8JdQc8czUfxgj74KRjK+YCeTPWKFFod9rJLDPJANR7LDWa
pGv4slll8CWN3xieMYRBcptdhqaMhMquCsQsSLdk43k07btaK3e5ZLg7iycT/8zG6CbjKntOhhJE
MqeqtsT0CEN6Xi0+o5vdtTiPIezwLjlMPAqblanHdhml43uftaylJg4ufL7g7ME/mJp1l9Z0TUzC
ZgoQmixUZfeol8Nra39lccz4gug6CIqPzAUhMhvA2rPuJvG8FqrPxBgrmi9UH30aegZPISaEL6Du
uDWPj0ZDdjeBQZlrOs89eJJVxqxmydg2q1YngyFwhWcGS0HhiLeBmCOkR3zUFT1pdvoOggMpjaQB
7j0Mt/0CJZH2dnykVAutjZFM/AFUiHO7PA8mgRItjFtG0dexd4uApMfV0A0M66X7k45DvHcpQAWR
gg0mFh4tDBrQnhHpCwG+983qW6PvnQtfDcaLgSHT3EX4dt4S5s4hpyRTeDubZn1AGrLb7oXTkjiw
BoZoiZjr2Z7NtlPb0Kg1drmcu3qyiyMsmUBKn8Sw5o3MCalsFFRLJuqLIRaMTdoycwOQeVO1H+jf
lJB5HznVb/djWUDYW0a2Eka7w5B9LhphTfSWN3u612NLHBl+E4ths2VLOfOE1bcMT1+gQv8RQtwm
bvOWFE32mDlev5l5xwDZIIoar9FIBIuikF1EUFLUIPyTxGuDMcU/DiaFKWU3ThcuDjHX1iRxLjLU
AQfS6ryfkor+dzbu0C6OoIIAdkbpIcMkPo0dT3Umy53NnBKgghcfuJ+VFDSv0zEMqFjF+qtWcCAz
9Bkvmku7TxGaCdCkaeB+I6Mt804GsKoTvPDAYnKHn245MkFesL6TGpn23Tri8ODUBNFs2j73E56q
XGDss8bVx40PeJKd9LkKV4ySPp3cov8TCBCIa0SyBs7CxrD1/lhqJcQSJueZZXFXbGwuoxN9jB5r
nt4s32FrGlwqQchonr43+vzWyjN4SIneXsBTRDFlEvZC1gf0eUFqkipd3g8X5JgzlvWBhphNoYkI
7AS5JZpjKFUkpN8knyIG4tsNNDDCpkkh+xfD1gJfgiGpvEZhhTyR4ZMa5E01mWArUkRcFY7oTM1e
FVzuY4+yeuG13nEcZ6oJS96mSeWk3dNfV8OPqGgDu7GXJjxbPKqEd2/7Vr42glL1xmmSYIjWm13H
g5Om6UsYkY1ypuSRPYXfwb3fg1AkdGOu6NqYaaYjt31tb0U3NGfz1mDAtF2DPyMY3wOM0GxjVY9u
49IRshTfNg+pDaLeLwG3b6bbeTbyu0gjF0DbKnAHWreT5A44ns19xnvvtPzqebGzYSlALRleoLbd
TbnenSJJYiDS6y8rIVSShvIx1JrD4lDGo4+6ufUWL99NIQj8PGJXt1zsubNuf+vs3uPIpGBu2F4s
veAnBjaakX4ETPobSFHQ9gAwciSYPcfxarHCC9vYUnnDKbQwGeZzs2YtMPLq+o23kia5xDUsGlXA
WLI91V58ygyu6thEMRuDifWLgdBvs6IY3JwsUcNcNa5wsffzZBxywOlTSSFcqX3rGrbVSKFFy0yV
DyMAFHdoOM5nNvkCT0H08/JDOQPtwnFEIYt40pdjm8v7AhixT03MNtVGEEV8xMKrdsmES44sDGo/
VsdDn44aW5firDhV802k0ANLbwKBr3TEfNBpjT5obMBNczY0wDKrnpp28NwGImYHLywpqCzAQ1b9
TY46exBz+BWlzha/FKKqOX1HDZCYchmx5pq4xZ1pdbe3uOp1GZVBVnX0YCw2ophSl9bOIx8GMo2S
iiiX2+gXQVsRB/DnqE3u6hrXrc6Uats3cs2RxIyPh+quSYqLBUWNXaFMcTHIvagei1Sf/dnRzg5W
MUJcnKEmbA1T68U33NE4oUZgkvvakttBryBS8d/+G9j9b+WRn6qC//3b+m++qnpukyju//3f/uVX
l+Srrbrqt/9//q39T3X9KH66//qX/uW/3P373z+Ofir/o//4l18QcCQGeD/8IJ3/0HD4n1/FP//m
/+8f/rOl62muf/7n//iqcDav/7Uoqcr/PaMsBFHf/3uy+fErHn+S5f/4F/+MNev/sDzDcjxqmRl8
0BLyv2LN9j88W7IrEXh2dFuI9U+ggv/NLst/uDrAD881+EfCEmSRuTH//SP7Hy6jNc91bWGbnu6I
/06sWVjGWhXxLz0J7IdEYjy+NGNtJPsvVRJm0kWNgUjI2Dnb2hGiHGbd2Mftxf4zDNdF++z7lu5s
lzY9EAPmpuAUvl1CPN/UfiTWUxRVy7UJUVE45gMOn/CzeM54keKBFBzPdVkAoDPkrrG4wma6++2m
0wtFQvHGQv5QHKOn6otXmKuRMnE89eJPp5bq2NbDfvzb+DXNSA61rPY5TC50XLTiwYVMJVZ+jOXa
JkLxcLAtZpXDqoTYLuPO3JJ7gkp7jp0Tg23QmEVJSQHM2ikQQJPpSgKeVWp3dRLah8WguMht5kPj
JP25awoA08mFuHMWKGR4bh24KaumB4cEJ2ZjiII6hI5xHAhiRAWMM+hsG60BaBbHUbs5C5GRGkz7
IaCx8VM43u3ItB6s+QTFY7EeplD81GC6d/Ew2LvZehqctVac4ahT67ovJqffOHn6A2ftC+NUf0qs
Nw36v9MbmC0kvPnePSnHSR5Hw9V2tYI0bUUc0Ln1YDstolOtZZ9o+gYG2PHPhE65R3s7uhHYUq+D
o1SkfG25AI/ZMoUeupcpbd7iFe3CtJni6Dk6jUw85xFFp6+TE0Vchl+J8DqR4NjpDNG2qsfXDhwy
iBWuNvZsWzIRViZ9jMlj1AjEk8y76JLJkcsgeut0KScw6nAdbaKHo60xk7jj89DiOyYH1mz0Ee1q
MSdOEVn3wItFHhAEUWUvt4TqDoNTnaOVIjF7dHLO8afVggDKDOuB/migTnFIW5IIPMwjyWgEhUHS
LY9KM0AbXWkh8XNowMDHcM4HnlBA2vdPbZcgs2ytAJMNZ8I/Da0Om8Hsjrhp3cBt8ceSR3t0u+nd
LTquQbGSO0tkJy3HkhhRk4i/X+/uNAKwfW6cdUaaWyIwNjEga9o3EsW2K7wzBpRxl4fz1dTjQ2Nx
YK6xLhCpoR22al1sRGMJvnd8rQcJcDy0YwRo9BZgUg11w+IRXs2KJ9XxSjmBka6mEqfmK1gz81T/
bpJ8BROAE/NFSVapadVrMgMITyTB0tiKrp39R4KQWizbPPeV95wV+XRvR/KrwB7QD6RWZktsYyDH
SJjo9sIs2220dkJh11rOkzTvSRK+N9q9gE+PBUjHfFmEN4k+PmK1CroaB1u8wAfOW+fKXKQ/2L0i
l9Bx8Hf+6Dk8XwgwnEWku0AL0WYYyj35i+O0jNyWAVlCyMEYqqaYSoyqvAiJl6bIAilNKjKlTXA4
joBp1vM9t0WP78qgYnP1HrQPGk+O0XELLiaPCb4dInIyIACN7+yrZHkLdRRlxPo3tThnK+vUwerr
e5l2P1PRl7uomcyb2gYob/QZ0yuLLEur8VEi9BuaVd7xpPUrQ/zMqKNiGET6BwZVjYo9CCbppb1m
kjAPhwz96FYL2tKzfMP8rmvB6SCMq3PXgZxbtMTZ4EWIN31EsGHSXRbFCGhXM2rZzu0GZr3hp8nt
1UOnOnqu85xa1bWwtfnQG8vVxoq3tfoKyzxnf+IFtkY6g6tAo08fNYcbKlCirRRjuLNZsiKmkoee
kWJLVKklp7vBiIxemUDVtYzhlWzuZ8w/oeALjkV0G2u4NkeuqASyi9tFT8AHk1cF84WkjR61pYhs
G3uKBRZvsT/wsc3tgw3nNGHet5ZalRtNpQcGAS9Ndiow9jCFDh0kMTfckQDoAmeiZXDAHDY5qb3D
D1GjFbI20GK6NXqRHkicflNgkrL+AWhwl50Mx/jEE0ZLQLkTVWX7s5Xr1ElXr9YQ3keZJDIou4vR
TKekiAKi3nzD3NH3iWvcJUnBsa6ax02X057gLTane7lOCuJ97P3UKX9vMoC9wtfB8ySxkXK7J++u
dlrEgLxV0yuIuniGDtrQTufPiXuiOC+5RUy4k5yGtiE8WzwaA0w0tHLJET+QoIB265w01nomu2yP
VLiebX7D42HYzdSob9IW7VA6MBr47comElVpDSzQBMwiptRTrp25OGb7uaQ0BgC6tql0ekBCaSHi
hyEPd0LGUJO9D/Z6a9ogyjlyrkxQ0OJ6RzCykAO3cEgimSR7kTaOh2DxNWvziRDYpfBK7SEsx/dW
W6EM8Os2SWv2cMYAXpZgBbnh4WHGouam3ckCSL8PCYEJieEzRPyfajCTHJ8JMU1HlkXqABiyB12u
PShj/F7fd8HmclA9gwEzjPeUv/vaOj2dGKMW6zx1jpILNx162GfPClIF5SDSqmNiYUWaO/K8YWXC
kGW2pP+d1tLCvnPWCW7HKBffXs9gV60T3vw/Z71Mfft1/tthJqrXibBgNIxxFHDbOi2GRLKnBXxg
iMwEmfF72vMBkxdsGA1fIQlDbFm/sU73ttY8lEdtYYSESP7BxCoo0ST28aj/ZAxzJMPsfp1qV4y3
S+Ye3PtcsdcZfYfrDDwR4wsYLnGa1/k4UOQfu5EUkxcpwwf7N237e1vOB8WvUdFK7pPsA+vU3Vjn
7z33T5z+lF97bFLbOBpqn7/6mabWAfS+dhCtGV4rNzrrgEmwxTYYEafyflon/6a0wRn3/Z4B2vA0
r/qAvioFEsnAWrWDAZ1l1RIEJzJ3VReyVWcYEBzEqjyw1sDoR4woVlViRJ6YV5mCH9eqWpirfsFO
fMP/M4yRVduwVpVjWvUOgfDRrApIKj/Gv+FRTgdcymSuneBLtrvF1Z87Bd6JjodTvKoqWgoeX40O
ZbHpSCAiN+4W+0KbzrqxN3j34Oe4yDRExO68VbcxvLPZQb8YO7paUlmFLFGoPAq5B5nL3eCkcYJi
xfuyMq3KUINEZKxaEd8vCrI4QDj/zFc1qV11JXKInBDkBx0oEbjDVXwazGuyqlGkMm8cnBQHqjMO
+qpYmUhXNtwFJc1AiLo7w+tu4SlMxnahszpF0rg4WnXTaFCNKQAIa0hy00rOHhXrveSijse+VywD
pM+iqFabaW1fueNdZImtFe5Ui+jk0q/THgw2CXi+GZw04WrCY7mQR0f2yUOb609KaZ9DaI3HfqE0
ll5CADVYRTdMemmIMdEZ6a0ZteY3Jav3IGvNpQMUzAZMdP5OnN9zxiNJY2LmaWNepTi7eBk4Uzc+
JhUSnmmO33Gy3OXS+J7lQoHD5L4OYV4icA5BVo/ol3V3FNjlwyh/tfA0Y7dRj1a5N0Fbr29pTq+X
rua9EzpkE43+y7A76F4FUwT7rVlFVIWaWqCqpqu82q1Ca+EwkM7QXiPEJCxxzW7mbdikomyxVSHV
SudUodyWKLj2KuWOq6iLOB5hKTUPdZ5QeMNWaYXvVMOxCa+SMFef3byKxNkqFzercKytEvK4iskK
VTlb5WV3FZrVZB91jMBbs+YTndNdbVv2nsNosa9K7ILMDT+o/ySbRKb57FH3ssMsagVEPvDRcGe+
sZJqoRF5dMAlKsilTO9tgIFQcqvuoanth67Oh3Mx8BNylKtjb7VBjo7Luddz91679owX64YspoVT
To3VgNVxvI+NlWIBDG+qae5Uhb4LzWU+ZKn5pXNQVLL84zraDxVUe7toa5ai6oOml+bUduUtJIT5
bAE3beKSBIWDnq57K4KuOCxT8+EOjgoMy+5JN85P/YqrwCEXj4u+wxOyALzRDmXhnhYi9HdN02Cm
sKp7w9PflwwvBsMC9iWmRGGdXomRPGIp8i0Z2yTrDG5eoz2fFo7gbmp0R29yqMIYoujAjpZI63u9
Lg5tBa7Xd+dyvEeF1LkkDdxojBASkYGVqu5B1pjmd1MyMnOIS0CdvwOuJ89pnkh/TPoe6gFzEfod
3goec+Iqlb5zlQbYhWFKYxCWcAe+2fwQU3h2E+mdL2EscsHhax+JSrg56aFhRESo9EPlwciJka0Z
aU+LD572ueUxipTucPHVXzB45X5IBpQANQIil+aNSXZmt1CH6ElokaQKiUg2hyYP34m5il2n6Myx
1SdjFSfQMOMxKUVxH+LFz0zBiYAenEFhc4ksbwsg1CSvs8Q+RAUbGwcyYvrLvJa81dlU2Y2SOEpA
A0H4VKUiXwUfG9sK5iGudYlsVt9mt2/b8TRwkjvNf6IUgs+UkAvJ5USabTzJ5V7kLHut5UMf8mgb
0hCDcz8xIgTF6m+/bnVbOJi6QnpobYnGMvBTt5HTg0EkNKsSK76JZ/lS8SQnI4gkxT6zrTOi5qnN
cyGW8K2xMEv3A2h4xUIxNC0mb1JQBvFrc1q9DSTlALw9uHr8mhRrf4Ilg7rFE19N/Ul3sa9zmcxj
Y29jr6VUbDWojnKjNPdr0khD92OOsl/yJNT5t7bO0F0bohkZjeMM9Gvf5i6oAij5o/4cSU4Iih1V
tXiFpo4JO2PkmLolzPUuXFS3txs/5ZXdISijE2q4BvQ2++raOA2q9DjbP0wOgTH2tyUtTVoJ/3gG
rmqPBJU0BoGcgIhc5ul5aK3bqrFhZSU0BBXDU0sTHpZZ8sve4PxqLkuJh2l1lzvxHw2lpC0rPXDs
CbJgdDeX7NK6c3EIL/hDg/FBGQT0at/LZzRdRsA80jRy5t3Zq+R7Vjx03g8qS9x2I7oThUM62sUG
gDkJ32r5Tru8ghFpWr7NEIo6Cdvl0q+Og/7sKfO7c83fgoVdgHfCvJz9Wtls7lOT7ZkUwbbjaMRq
MG1rMGlurQew6ZfAI06ua1MQzo5HZMZ74se9bByH/KbhNp2vZH6h22KCB572yOommeslvXXlRB1J
9DDiH/fs/oLb6FQq7Xu2jDcT/uNgE9g0WoOLP/MeXF/hiUlkUBc9Dpviw0NBIo1WMqvnza7fc9u6
qwx6r13o0ra4qzD/1VRki649z4PLF6Rh3U68X27SDJn71d++9swuc7GzhvqR9/IXW3i8IUGmQBP1
QUkTKNYTgj5hwhBTd77GpEy3ZfaKMRLb4LwSEaKgjERD6mM9m7JZm/bSB5DhfiFIf3VF+t6MdCFX
zlNpdyE3UIGSEB85J0KDH9sZDxynJeDRWyjuxm65ArfjJuiwGwCuvY3n/IBDDAqmg2kLlGB+EGN8
QyZNrRVXmM+ecYCDqEiYAsMvelGYy3bTqL4BuOU+Q33wDd272Zmjjz50MxUDTdyRHbQdYGzmhNou
1W6agVQA87CKkSN/ajwrrXlvLfcu6suLp63uWhPXiuil8FOQA13JS5M7Ap+D9ZWXbh0UJsKy7typ
Sq8uM2QcNm3RBha8mNy6bcQ3PLunSRME0TBPO/1s3cwgSZeqY9BCDtJhSaAdpMQOPzwBHyuWU4u3
kmkSc/XI2s8z8xconWynbYrio+d0NgFWd5unJcd2lSEjBGD27nJHvrPt/uTtFDFnQrkaKbBHHsUb
AxcIF9JA5onIOmQW0GFTk3Hl1rQbjl26T/PYdojMPJCqA9RQ+ZO+1Whn3KZ6/jJYeKa0YfmwQywU
BHhumEfttQ50D1aofWUrMlmeOgFhgbxlw6aoSdtLu+lPYL011IJiV8n+PbbaeS+TBWq5yecvzYwr
sAg/lzi8G+a9tdTDY0sMaGtOBClKm4qDHvb3IUtMAu7EHVVojDQCSThtQKHiKPoF73hIgFfJDA5T
t/KjsI/mLtcDC+g6uVIaHbNkpfUxUhJ6+9BM4R1YoHAnFWOnxq5+zTX0mX42uVhOjP2q3vT1DLtU
ZszlRjSVh4qC90fzbum9v/Hy4U2CRKAoSLLmSmPvlE8pBLUTLCYhy/KSpWcH688uzugmsHWTID4o
v3HKc0TvEqrPOP72mnwHUPAQ6y4DvuGxZN7qM9eh++i1CFGTazAYFugnXRJJqrDQemGzt0xvvFtn
Q5t2QvsU7rQ3oFRdspLNZ9RRPWnv3sYTjR2zWHhpeN1q2zW2Uz6DyZjo6lYU+NWelvv0lz5BR6Ti
kVpaijb0x9h1mVpyQodCG/oh8aIgMlp7o6XCOPSadZ+MmKBrXIV1HjACV9s3bv3V1pUVeAqeK6PL
4EZmnQni0dlCG2MQMMf0XjjpDXU+TIlTqlYZa0EyxJJSQU8ZSNfcRhmXbWt1TI+EiDfFolc7mJVr
1FEiNoe1vs2lVmwWRHR6VIXYqXVAKKxx145REhTZX6YG3U5hHtQ6JR0U5q2J/QSqd/ew1PGT4SVn
0fQlMxroCEZUFX6KzB9l5Z1hqo6FEz3LS9t9N2YcdaL6xQ1BMMfO64IzhVZGGlFj7uhzRf7O8y6y
YXgvEuBKkbIuVQFb0/3D+AfJoHkY0FONUoJ/buqZ2V/85jBQ2wi1PBB54ua4HnbcW84qCQc6K4hH
490xGFUtpQC3QGRFEg3h9Eyoh2KRP1lzzw33Ui5m9iRJt49AMbhL4csr5S+VFFRgRu6fwQCr3dG+
k2uQ18Ga48Jxg7aVOMQn3dcGsvEkJWhjPZXGJeoccUst4U1UQSUhcRGdi86+hgxFa8Ib6IjyN5tJ
zjYsaI7bh9zJtNeF0rPQNkLStSDoi/ZPsbjvVld+1FQaKNW0GBLVWzN4AXb8NJhGl+3YaHpuh/I0
lc4PxenDpm6VzQmSboskeZb1wvlsuHJtB3lRxScmnrhkVvIjFJTUX5butBhNt1vYj6EVxEVg6ky2
x7HOwWuOTGxZeZThTlvOSXVuldsohuWp5flDN9HgjQT6kGEfIsTFUQXqOmvNxNdmLTofZ/1oIIAa
dfzH6OWN2ZDh9iosO+cGbjrWA/dMghG8kdPvVJ5+N60rH/U1ojSUZBlbpkcEJ/ApKXoqllRQtNWP
nwzQBnjRkj2DJpkGFB8uD4RqQFJlmu3lKF8SgiZDGbH3Udq2LZf3dGppOJnH26ih0iyj58rRXdrz
Zmq8Ml5p9gNMf1XKREnXBrgjCYqAql9waY57+D0vHalJ7hJd9mBn0XNXtp/Trx7LoK1x/+jJc+2Z
xU0pcbMsBpVOcwFlYGZBNIy0u289Jw6wStZsXv0Zn9Nr25vJSeMyuCPxFRQO3ThzMp1xusFTiCor
gMEUb83OGi81xCIcO8oP7bE4yIncVqYE85c1+mZFw/SnwG9iJclHVQKgs/KfpSOYz9PR3SpQXBQv
vlMt7zP6Km5qXCSJqg8YIux9Y4QU9FwNbp9+1nTqPlzrv/Mo1C45DeYmJVvwM0PYvuYIS4Ux1qZe
g3QqN19a2nlmG2TuQrdiUf1k3hRyMeO5Gr2QtGlr4PMfO3OH6J4AbLqGEpadRtbpVLY9k54kw53T
hIzpyfvBiKWP8UPqk3VbjwkjoI+pCsfAcY1PO6UadVSab6Tk27oGe+xacIFtdoJA6nSkiQGHccOy
mNbUWJL8yph/md0QZLWrU8hVfKWBdYGu05slc2bMiTE4gSO0A8OT5kI39mMeM+aTHByIWE+wAdsX
UtVfWV1alK9WVDykDFgaNyHXkXFOyab6WhO7ZMScvYT5/Giq0j7aKSNGZ2QNSsI1CEA41lLkm8un
ltdx462VF6gO9cm8q5JbSyd4WAuDI1gvnrP80CqF+QrOIlw1ycfFHlzGZux7dfimaOfbaQomYKVw
XNjoSbR1cN169hIDG75ufcMymgnRUgU1mKXvueniDwUsnVwe4wEHeJOaT6KYnW0xLa+mJFXY/GZm
/RDbzbUsiJplHGhwusrPsf5O18EfyUcIuJjM9fJBKoAnYXmFGTY14kZU+UM9FT/K6YKyr9B/hvDN
qCwDNQjp0ySaojujsZnN+mnwwIwk8JugRrs37krQxIj00jn2rpHlxXnjAiL0Qxu6P4PBVIGL8lw+
qMb+opeIwzqtUN509By6+pzs0MdgyMrW+sI/k5hw0/uduXA46KziIxmsPzzS81zxgwXSb9rXXqcv
JVEVXGqv99vKvRL1sTzN532/Dv3yaZD5qPX0WmEiwtc+/ubLtGJu7/6Du3NZbhxZzvCrMLyyIw51
cAe58IloUtRdOmpRrY7uDQMUMSR4AUjceHE4wq/htVdeeOc3mDfxk/grShizQI0oCTWn22cWHaMW
u1hIZGXl5c8/V5vwNnHgwpg3Mb/ADM/hDtJvli7hMtWZZJKPmA3L5MOJHddvwd8RWTayU7NO9xuE
fjbWaL55cHsXq3wuOo1zmxQ2Ve/VXFszMzz9ls8Xx5sx49dSSK3WpCqvMzZ6qs3G5xQQz9fM1ru2
Gsk3rRlPYW/iEZdAU+sObDI0uayJ7ANQTyN4Byz616G9TM7ypiBlS5jz4yIlTXAAxIIDgA4qi5R/
L4J9eu5cmHk0P3YT+pe2Q1SdsRMBobRiusuYoec63dEw8ho6kKOFubgfAxzRnI11Y6+15AReOMJP
0nKwkNJHoVkOit/LLqOJdY276gB6MuunG3p/cIhGtgbcuTG5iGGsXE/Nz5aGb6zhi58vmtnt0sm/
bRowwjhjGLgScKjzFR6QycFI7LN8Q0llCllJyjjCdrQEbhQ1rAm8qUsK9cMbC7LPdVTfdEamTqXP
NvOTWCP0jGfRTUgz0lU0BgI3HLoZ9KFAXhsJ3hb5g7O56HFiUCDq7dxFOiOKUz2FRG5I0bs5TqH8
Sb/QcXuBM6WdaLDKtJMVRNS9eHU2y906MAZoY+PVaNLO19klwIc1xojztOZquMQZpN0wCw3A0cxU
WKLhkzn1z96o54I5Mr5kq4jKwSQG0wjNR9MggITR6ThoGJOroQE7TDpZ8W8pui6W8GFGjUlnRlxN
FBPR8LqkjygfRsObZobVXxlgRxuzbqDR3B87xPjzWIfJygHGGdhaf2WHEbOMqJFStnfPUIozc1rn
yqv3rnvA5y7o1bbwss+s9Uw/EeACdzMCXB0tei3gaA/TtdsdBen9pu5mx7Y96gdfF7Q4t3OTfsT1
asXAcY2YezrpW3C/ddw5QMDmyPhmJ/H5BjvFmJgWJd9kfgEswhnQ9z9hdA7kmvA6NtYDw4aK0KXH
qVnffM9oWqF/0YEzh06fDCbs3mhzMqLV1Z7k9mcmF56a2Yr5E+m4jjas6DwbwvUiqMezqalTzlwO
1rNfosXEd6arLzqX+sYCqZX2vDn+xWZCqdFZOAS42fgEdzM+nebJndZD0IkOXzM1oIeZM/dA2c0u
zGTmM/2K4ewg0o3MWB+P6vBB9jSeRjOjLz0jJ309JgsbLL6SliHKNWFE1cKHie3e1ycuJgR6KWBi
q3M3NuGjHI5HrTGZJwj+YOXVxoD+ezHzfUU7aWikvDOur55u9rOGezGZOH7T2liM8rOgiU8AijWp
FFJ1bGSWYOXiNlojt3DF4F+bDnSiFri94DFcriztbENTIcC7yQlzrQgtSXamDeDtC7BejNtw7m1g
0bC3ueOODr/ZejgMzkhBdejcpC6ymBkUtROCtvEp4/eC9sIG1h0Oqf0v0glZq945bnPjDKF/z02O
aF1070CuQsxOEX4J6HIxE2TdxmBJSf8CknBQ6GvmiC76ERnbFjA5vJGhpjOFC/7NIPNnkfEdgoKQ
vAk5VxCtFAfpOR/TfNaY97Ow95lE0XW9B+XKep6Qq6PwP4eKegIHbgtq1rEOU62rDSn7NnsnQ4Kk
FloF96kzHgCjpA/cDR5hCdeow4bMJWWm8Yi5eFfbP/C7pldJHk/aK1oYSSXNSO1mcXI5Tke+Abdd
awMcnUDJgoc5yL4b9vBcN8YmIG0DsKXuNw19eqL1QHfaGR+04JJu1Zc6oPaUqqy2JI9OnQwyadrH
QGcb573vAc7y1WIGHjrueXgzrXUj79GSaHtaZrbcRa87iqyIa26FZzK8mcN7yCzc46U9eRinBvZj
nX1bOO7JJie/lK8fMneWtWkYgjPGGn9OeOFEP7fpWN/cLefRTW8WhCcWKP4TxifdWTm0b6mxMFpT
2DnbpjvsNxwbLrclI+wz/KXjDSNijhdL+pZXGUXMLHRv7DwfMiKIfwSgF1od+AaMIdnp3A6AY1nR
BuY/IA/xYnJp1CdfQRWNL1aLhJ4mZ0Nx3iUYazLDrzVmHO/xOm5ujrXYDI6Ju89ye/o53TAnaeKY
g2UGccASjqETGDZPqFGTYF9dR8zmo7aPoWNaWxy4dHgCvW7lGeGQs/6qcxVB6DcZnkGsaQSCUV7P
MMpNiJxdiN0SS+tO4fkG0JXn54uExIedn4ztcH0M2U3enhkONFm0Q5M+GZ5503A8/ms8+1pffY7I
F+c9LT4WY8x6GnmkKVTqkY7vki1mj3Dz3SzqC8Zfj7JOro+mTPzc3OZhIKZQQti+oeaarUnv6Bnc
waMA7of19Hs8odW0EfVOmN7weWGGooVd68zien4e5eRi0FFOtLa0znrZ0BsHcb1tGXeLGchQeqqZ
aVCHtXEzt2CFZzKdoy3yr1DswKdGn15TG9K8wQzZy/Vi3hmuFxDTaL8sohETHQNmYpHnJkUFdBr7
MPraSFLjZBluLmerDHr0cS/tGIC1XGimQmwa7+8hX6y14wyQXXuUrfozk6Bx6U6/g4Ezz3qb6EsK
j6G+jj9PFmI6naVpeEGhR1+IRmC59jaNdHo17q3ppdTmrWB+PKcD6iIwoPFbJSSM23UR1uvrxZmb
L79TUoHQnkFGGIDNtcGdqkFq0HLnlEyZPgcJIFPMx3OLuWep9pCtG/4qTq0LSJuMzvLYHTd5tjqY
rBkoajr5GCAYg6tNos03awYAOOu5y4t8WZ+fRSHE9Xl+b4kMchBe1QGOAOBdU55KsSCTRUipdAEx
eoShi6mW9UgzuOSnp81LRm0H3wnSSPDa35nbAllICg1Tfd1aaKJHCGoUph9P2syH+MU29Ov6NAVl
FE/hGQqJ0WztMg9urDEk7BpJoWPQzHCZpJ+TZs77na7Psh4D7kAjJu0/RfaMgV9NykvpAlgOvDyD
kGKnmS27lHfBOTlfRwxzgjOX7N2yzgh27WThmvfjZni1GW7Inuco+0oUUCfxt/oCuMWfMne8GW8c
8kFDBxQHYPBWTjyLmtMHgfs3XpJLr2vDb5no1FhSVHLqQT/Rxt1ZY3prNNx1q9ngXZrB7MKdDgHq
ECFmVNUZucccdABUJIRXnw1tml5Mwm8aM8U/gBT+AwC+z0hlgQXeQ/gCFQaF/Iz/JToL0/voYx96
faE3Qob1EmJ4u6MtWvm1BaZM+EqzAWBkWztyyME3NbNparTQaYCDp1E4fP61dUQNRdOaLjBgHQZA
k1+DUN4R0O+J4PWn24dS76/z2gP4W1T2+YChTeVpUO+WgH6kMdapoblNANgO/ydJQNeOzIZm4H03
DcsGQM3kp59LAo2qEmCClWOYLoAzS2PSESBNSQLGkQUQ1YZfFwnZlv7TCUDXeGUSbv69OmDZR7pF
QlsAyqwGM7d4xp1ToDtHlkF+HoA9U6bQhKdT9xOdApBaVUXQPHJdBpnDfQXhm+WI4Wc7InA4JLQV
kDRDR5o6H/vZjoGuV9YC84heB9vWGjRCYO9s2RbqBoPjNE3XTOa9idlsP50E3CfrXLqf3nMbGEf0
B2hO03F1x9Qa4hl3lMA+cnRxTjTTAteHx/LzmYLKttA9shuu5opsldZwt0d9RwK6JQwFTTHYArpt
oJf76ZTg2ThVUgLdsBqmTWeDpru2W7oQm0dms8mYxKZrgjWzzZ9OBPt9VO++Dxz6onSDKN/GKEJ+
QF/UjhY0jgyGiBiuoyGBpqVb7xDBGy6N31zM9iiYDrbOZeAnOy1oBz9QOF/7Czw7VcJzMkxK0r81
dW0/KhrUnhZ/crDEz3+R+tW2rt/OL4UzvPOj9Nmnnrud3xZ+4+53Pctjf6cvPkPxl2eBH3vxI4PJ
t47g81OJRr9//oe2F3oDb7dNzsSM/d829jrwfnMdXlv1NPb9cOqFg2KprfNJw17Vha/9VfAYFeuI
VXUHO1512a5HaFK7RU6xX2PbtetgkfkocbH0VgWEu1/1m76AtfEHtW7qpX5SLLdd3cIaV129zQKx
N619mvlx8Ci9Vqa0NjiYv/sNbOZNr7btxUG/73uSaIh6aIts0KV4YP2XFPi3CGlfreXI5/2/f96O
kC9dma72pgPMIQl5jAOHN3pEBgc+8zMc8E+/lDXBtfb04PmR36gCn8IUc5KWFIxM+57leOe6SSCr
rG5UXLEDPHnuF1q5NRcaQVnxF0WL8fu2eSPagV88Yts7onQE3rf2pywRB7gkB45uRUF0RZ/yS3s2
SfLtmbX37Rkhe6U3x2hneqRtUgWQSzeIA8zXbP+T6flxpkEciOKu3L1tX7mt/z8c/OmQS0A6UApu
mE/hEFad4gCJE7Wnmdluw/6b7hSwggwZC6VldRXr+tBQ7+5VpKt+94Z6o/VrQa4YDoJioe3domDZ
9siTvKV9K/V+ud7586w/DR5r0S81qm41BlMNJefJeu1YvlEe20Vr/3h81/6nXZkocWdwUeNI9sIs
BXoBrWhE/+fudu3XfJe3SgLV2npf2ys3rBXil76HLEBVDWx7c7/24McD6WazSWpVXfl4HPS5KSTl
hsui8rpUzOZpsYw4MY6CzXYWmZdGmLhp7TTDZZPMh6NATTpxkMbysq5ePEXhO7z/VHbSUQBvq7Rd
V8FBvOeEn3qzvrxyY+92f/+OT72+fAgbCl7f6ahk8fd9nA/sdE8RCE2qv7L2r/+d+rXB//zbv5/D
tR1L545BF9W/4NIP15JCvOD6vl8aV0G/7ALo+87/B9b1kygdSTcJbZbVpcB+S1KwFNys1yQ4hl7y
6MXFDreBgIqL5NpbR2kqq4Ot4Chfe1NvKVnhbX7dxzFP1x+3PCxbWlTBOb7mKn0s5WREKrz6ZjPs
rxfK5kxXcR1dRxthJ0nxFNvcaoSjQNluArxuaVUVpn27akkQouxWVcZP9ybdvEniZcVyW1nsB4Xv
NxN3+PRybtHQFIQgz7HsXl7DEFW4qhLp+qE/9KbFQkIWhmDnqryuyC16tSs/CiWlM3QF5qIbzfZy
BroCe9zNBnKez1Bx191HchACl5oC+f76H1ENErxf/3Obv72Nf/2v8DGQcz/Gq1mINzr591kYlLId
hqlAq++9cFM2dtSQq0vmy3DvFFoKFJoweBKEXu0EToVik9vTYimwS9QmgpIfC5ii+JqPX4Ad0gxk
d6VL0BDkelWP9/c9v5sJwgqWDWZ9r7+ULYajQBBPNnT/fIuieFVZQEZUu8d9kYyoLcBQr6/84xKA
29T132EG8MU8vX24jPXj3oTlApqonIzd3b8wFlRpd/+qI9zookgsvfbiN8VfvlbjbHmjmLJhodVb
r0mBO91ew6GR7K6qwpk+9TYeRcc4mO+uTFm++PHjNvU8ln0EXYXncZ7Eni8ZEF1XIFz2uiieePvC
DAX5nIsoLrlJunHQ2D0hTl7Tr8ts6QWptNvDNvTwsld+3wvlbA4loOJrPq4Gf52V1EDFNfUZULEc
TQm45evXyGERdL1sENQ+xV7ZxdAUuC5deIKkTA6s9tW3/AwbEHuudWZBvIceMBQ4BV/9JK21vHBS
7HfrzwkMb1WJf/NnvmQpDUfBwTulEhXWznxBdy1ZTMuAOrn6rnH1+7XzROBYpOV1jUvKFdCxqnL5
1M9q11ki6cvz6gqU5l/uOt3O3UPn+F9r4tX6cVjb005XQBhN1wGxDFbTcvnv0GO9dJW+csEqxHAI
DEuzsnfwSln3B4GwXqz66wc14Me9iN/wPoWj9NGy+e4j/GGe2qc468tH7JCKH75DwMAwm8nbJhta
XtwnU1IsurWaxQ8fv1CptGfBVK61CwxxVZsjdusN5OqnQINXXVeUn/CJvZknGUsVt9+Nl3tkKJ9t
cbFVIWeBp6268ba3xnd5ydCLPoHKq5d0T+Dkq655HNF5WoJfqUg3FOu+XLp2FCgfwNAy3lTFPXrC
so+j+mnmDUBtZnLaT0Uq+wxXXMoacVlWf48XHJbSawRMXn3dZ3Fce7FIdpXLHCqgDtdRmCYioy0H
KCp8xVumh6RR7a6E8zVUxKrdtHYJ42iyNds3fh7IpkpTcN6foMRX2WMpClBiYmNe58AbbLd/H/W9
UiLdUHBC78nrPsmnjW5GyUt20djHZWbvBn3xLh6C8BFbuH0cgU96sg5AOeTXoqII3KKWGCQjvjIe
Bi8ae+CK1U/el+6r33DQpTvseLSi0CshEAzRcVH1TmmD4nz05FS+itJl15N9L5jSqm/26ZB1AMuS
zpezZYaKuujT+nhKaOXUn62LHQuXw1ZTDkTtrz2+QI6LTXpKVRghsbgw/rsbN3X3Z0790iv6dxnb
/TIE6BSgqfLLKN5MhQBh4+PJB2N5YQVXwKeYbI18fSnQSRJLwyn+WTIqHn0bKClwo67XXjiT84SG
ig2PsvJLU2C64OkJfcmVNBXstU39MRrI70xFlbcbB7UrMoJScKsCQkbCQMZ7qygbwz8yrF2KP7qf
7na1TFeBOzkPB4A3SrV/XfR2V717WVl+dfSVV1/1wpvLpkFXEYtfruPhelM2Z7qpwHl6aqy5jEqY
W6g0qgvjqeD9wtoKjvQlxbXJaF8kCs71lVdK1JgKMjXXwtHbOyKiO7uqIhMW0h5S0mUVwA2Qi4Mg
l+MC2KIU7BikJWxskn3TVbhgN/5chpHpojW8qoBvPbx0f/pSUKY3lKzP4JrSrce0EAUbpzs7mM/3
YjtNgdZ1g3DozTEbxTa3joWKXOn9yAvKbcyGCt/iHv6xfUlDpFE8wsfdwnsvAHdZrPPkYymwRCIv
INzCsnYYKizSl03ff0EcKvKvD4Gfht5MkocKU3ee0gc2fyElrduGijzSZRZ6yQgo1VMBcnf/Oowz
CvyD7pz03XT9ki0xdQHDqWytroPBYOrXOl4ipQmfQD6/vzrZnze1DXZhUY4wVi+IiF5khk8qqAEL
JP7aqzEVJpjS/pFMxE93wWAoGRvqko6pogPiPqAzrX4lqrWF+MUJdo0mjGMq3rmPLz/Jinf+52Po
zdeEOUHtM02NcvqnCZuJoSIFxKi9QVT7M6DACdFfMJMu26YLZ56Kav2llwVxIGEXIGDSYOhS4OLd
enUoLR9HgVdPkmz31Tx/h4KqTpcA+YWVFdjuK2+ejkreyJNoDt43uwXazjNu7m9X7K/el727/z+s
wNzyp8FGOrAqqjjtiLtW1EGk86LCm+5Ma11vmlMFjncVTkUamRJc6tONIO15nxgie3e5gNh+IIgG
djfM6S5+/Li/dIOAY49afrGUMLhQ1xU/fnzlWxocZWOnNw8uu6uwf9sD90QFURXR8ROia+KhCLvk
dJMK96ZFqJvLoaMK4Gcr9jYyeF5Fg0ybAEwyUSrclXY0jcoNxyqc684jlXzZOKmgeXqqi4tu8VLr
sYq2hxNvOhGxYuFbFfZj678p8ERPM9LcspFSEjzj2WKmJNXQoTr7fff8jd65SFVgVaXamd6wFSzs
x1mxypOtVuAifYmz8mYNFSfkgX7CDVRi0oszDvce/7hrQN8yJP0dXgNTgO+ytVbgPXyiKAAMZlcf
D/rUh4v8W0CovFddQRSDnzoMMjkXouCkt6IEwW5RHGd+vPGHUV66bVUAU9i8V+qMUQFDYcrJEEo7
6Q2aCqzUsS9qklI4qgLzfh4jBplXUUXbeidJ4e6XhABbXuU7oL3xRcxcLLS9ChXI9iTYI5c8DFs/
fOpOvDjyX7q+VVyHJ7EH2GlXEoKKXDimVRgdToM+jEOlJhkV+fpTUHhh4ku39+Hg5bCMT/0YsK28
rAo5QDgqS7epwAy34wh8kaS+W/r0qm/tjCGKXiwJgakC1bXhnNJQyTjQ1aFg3dSbyrtVgWa88OOS
gumGghTnBQlheFlkXBX0xNXFcOWlpXAPemsFywbpKCu7Jlua5Kp61mWCiTcpKbAKzrerALsOdI00
tYwxg+VbgUCylQ+cJYvldKiKatB1NB0gk2KP2/DBPpiTOWzWKHx7ZQ4cBQaI6kMqb1ZF4efGB9YY
C0shZ9NURMFgOJalmE/F1XwrWv0G0mtT0TdwC5Urs6DkRuOmAiN0ByNLyZ8yVBCRiRNdxuYBnCwE
8/FcJcUHARkNQhkBrCLq6M5LbfKGilbubu4R0MWSThiGAnPcXfoD+fIwVHSJd5dBCmCzrMZb+v2q
dv7LRDARSM6loYI/9Lnr+BJ8xSCSw0YVGMAHnKtH9I5JvZJ3YSihUKNDRXA5xbJCq4hquuBu5UuV
STjVjyCFfl8wtV7L6A3dVkIn8ASuA/rlg2KUd683HRX+3GWURLkkbTH1wzlM6/jjcl0v8VRXzXzt
Ps0fVnFkjht9LJJroAL+dZclJSwc42uqa7bADsmhJOM0Di27K8fO2yvPL/0zeRqI+MTj1Pfiv/wv
AAAA//8=</cx:binary>
              </cx:geoCache>
            </cx:geography>
          </cx:layoutPr>
          <cx:valueColors>
            <cx:maxColor>
              <a:srgbClr val="0C5D2D"/>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chart" Target="../charts/chart9.xml"/><Relationship Id="rId6" Type="http://schemas.openxmlformats.org/officeDocument/2006/relationships/chart" Target="../charts/chart10.xml"/><Relationship Id="rId5" Type="http://schemas.openxmlformats.org/officeDocument/2006/relationships/image" Target="../media/image6.sv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747646</xdr:colOff>
      <xdr:row>2</xdr:row>
      <xdr:rowOff>12700</xdr:rowOff>
    </xdr:from>
    <xdr:to>
      <xdr:col>14</xdr:col>
      <xdr:colOff>317500</xdr:colOff>
      <xdr:row>15</xdr:row>
      <xdr:rowOff>150744</xdr:rowOff>
    </xdr:to>
    <xdr:sp macro="" textlink="">
      <xdr:nvSpPr>
        <xdr:cNvPr id="2" name="Rechteck 1">
          <a:extLst>
            <a:ext uri="{FF2B5EF4-FFF2-40B4-BE49-F238E27FC236}">
              <a16:creationId xmlns:a16="http://schemas.microsoft.com/office/drawing/2014/main" id="{6703B1BB-0306-8A48-876D-D3A495498DA0}"/>
            </a:ext>
          </a:extLst>
        </xdr:cNvPr>
        <xdr:cNvSpPr/>
      </xdr:nvSpPr>
      <xdr:spPr>
        <a:xfrm>
          <a:off x="747646" y="419100"/>
          <a:ext cx="11126854" cy="2779644"/>
        </a:xfrm>
        <a:prstGeom prst="rect">
          <a:avLst/>
        </a:prstGeom>
        <a:solidFill>
          <a:schemeClr val="accent6">
            <a:lumMod val="60000"/>
            <a:lumOff val="40000"/>
            <a:alpha val="86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a:solidFill>
                <a:schemeClr val="tx1"/>
              </a:solidFill>
            </a:rPr>
            <a:t>	</a:t>
          </a:r>
          <a:r>
            <a:rPr lang="de-DE" sz="1600"/>
            <a:t>						</a:t>
          </a:r>
          <a:endParaRPr lang="de-DE" sz="1600" b="1">
            <a:solidFill>
              <a:schemeClr val="tx1"/>
            </a:solidFill>
          </a:endParaRPr>
        </a:p>
      </xdr:txBody>
    </xdr:sp>
    <xdr:clientData/>
  </xdr:twoCellAnchor>
  <xdr:twoCellAnchor>
    <xdr:from>
      <xdr:col>0</xdr:col>
      <xdr:colOff>732367</xdr:colOff>
      <xdr:row>16</xdr:row>
      <xdr:rowOff>139699</xdr:rowOff>
    </xdr:from>
    <xdr:to>
      <xdr:col>7</xdr:col>
      <xdr:colOff>520699</xdr:colOff>
      <xdr:row>31</xdr:row>
      <xdr:rowOff>53788</xdr:rowOff>
    </xdr:to>
    <xdr:sp macro="" textlink="">
      <xdr:nvSpPr>
        <xdr:cNvPr id="3" name="Rechteck 2">
          <a:extLst>
            <a:ext uri="{FF2B5EF4-FFF2-40B4-BE49-F238E27FC236}">
              <a16:creationId xmlns:a16="http://schemas.microsoft.com/office/drawing/2014/main" id="{83A5E588-CFB2-FB4B-A1A8-F3E440EC1FC4}"/>
            </a:ext>
          </a:extLst>
        </xdr:cNvPr>
        <xdr:cNvSpPr/>
      </xdr:nvSpPr>
      <xdr:spPr>
        <a:xfrm>
          <a:off x="732367" y="3390899"/>
          <a:ext cx="5566832" cy="2962089"/>
        </a:xfrm>
        <a:prstGeom prst="rect">
          <a:avLst/>
        </a:prstGeom>
        <a:solidFill>
          <a:schemeClr val="accent6">
            <a:lumMod val="60000"/>
            <a:lumOff val="40000"/>
            <a:alpha val="8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a:solidFill>
                <a:schemeClr val="lt1"/>
              </a:solidFill>
            </a:rPr>
            <a:t>	</a:t>
          </a:r>
          <a:r>
            <a:rPr lang="de-DE" sz="1600" baseline="0">
              <a:solidFill>
                <a:schemeClr val="lt1"/>
              </a:solidFill>
            </a:rPr>
            <a:t>		</a:t>
          </a:r>
          <a:endParaRPr lang="de-DE" sz="1600" b="1">
            <a:solidFill>
              <a:schemeClr val="tx1"/>
            </a:solidFill>
          </a:endParaRPr>
        </a:p>
      </xdr:txBody>
    </xdr:sp>
    <xdr:clientData/>
  </xdr:twoCellAnchor>
  <xdr:twoCellAnchor>
    <xdr:from>
      <xdr:col>1</xdr:col>
      <xdr:colOff>230257</xdr:colOff>
      <xdr:row>4</xdr:row>
      <xdr:rowOff>121478</xdr:rowOff>
    </xdr:from>
    <xdr:to>
      <xdr:col>7</xdr:col>
      <xdr:colOff>471557</xdr:colOff>
      <xdr:row>15</xdr:row>
      <xdr:rowOff>82826</xdr:rowOff>
    </xdr:to>
    <xdr:graphicFrame macro="">
      <xdr:nvGraphicFramePr>
        <xdr:cNvPr id="4" name="Diagramm 3">
          <a:extLst>
            <a:ext uri="{FF2B5EF4-FFF2-40B4-BE49-F238E27FC236}">
              <a16:creationId xmlns:a16="http://schemas.microsoft.com/office/drawing/2014/main" id="{846D3F5E-BCD5-AF4D-8805-B11E0F3C0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246529</xdr:colOff>
      <xdr:row>3</xdr:row>
      <xdr:rowOff>119530</xdr:rowOff>
    </xdr:from>
    <xdr:to>
      <xdr:col>14</xdr:col>
      <xdr:colOff>101600</xdr:colOff>
      <xdr:row>15</xdr:row>
      <xdr:rowOff>171823</xdr:rowOff>
    </xdr:to>
    <mc:AlternateContent xmlns:mc="http://schemas.openxmlformats.org/markup-compatibility/2006">
      <mc:Choice xmlns:cx4="http://schemas.microsoft.com/office/drawing/2016/5/10/chartex" Requires="cx4">
        <xdr:graphicFrame macro="">
          <xdr:nvGraphicFramePr>
            <xdr:cNvPr id="9" name="Diagramm 8">
              <a:extLst>
                <a:ext uri="{FF2B5EF4-FFF2-40B4-BE49-F238E27FC236}">
                  <a16:creationId xmlns:a16="http://schemas.microsoft.com/office/drawing/2014/main" id="{119D6B33-36AF-1B49-89AE-55A0F1BA9E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850529" y="729130"/>
              <a:ext cx="4808071" cy="2490693"/>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7</xdr:col>
      <xdr:colOff>736600</xdr:colOff>
      <xdr:row>16</xdr:row>
      <xdr:rowOff>132092</xdr:rowOff>
    </xdr:from>
    <xdr:to>
      <xdr:col>14</xdr:col>
      <xdr:colOff>317500</xdr:colOff>
      <xdr:row>31</xdr:row>
      <xdr:rowOff>50800</xdr:rowOff>
    </xdr:to>
    <xdr:sp macro="" textlink="">
      <xdr:nvSpPr>
        <xdr:cNvPr id="13" name="Rechteck 12">
          <a:extLst>
            <a:ext uri="{FF2B5EF4-FFF2-40B4-BE49-F238E27FC236}">
              <a16:creationId xmlns:a16="http://schemas.microsoft.com/office/drawing/2014/main" id="{7C9993BE-6560-4B4C-BF40-5383F56C2EF2}"/>
            </a:ext>
          </a:extLst>
        </xdr:cNvPr>
        <xdr:cNvSpPr/>
      </xdr:nvSpPr>
      <xdr:spPr>
        <a:xfrm>
          <a:off x="6515100" y="3383292"/>
          <a:ext cx="5359400" cy="2966708"/>
        </a:xfrm>
        <a:prstGeom prst="rect">
          <a:avLst/>
        </a:prstGeom>
        <a:solidFill>
          <a:schemeClr val="accent6">
            <a:lumMod val="60000"/>
            <a:lumOff val="40000"/>
            <a:alpha val="85000"/>
          </a:schemeClr>
        </a:solidFill>
        <a:ln>
          <a:solidFill>
            <a:schemeClr val="accent1">
              <a:shade val="50000"/>
              <a:alpha val="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a:solidFill>
                <a:schemeClr val="tx1"/>
              </a:solidFill>
            </a:rPr>
            <a:t>	</a:t>
          </a:r>
          <a:endParaRPr lang="de-DE" sz="1600" b="1">
            <a:solidFill>
              <a:schemeClr val="tx1"/>
            </a:solidFill>
          </a:endParaRPr>
        </a:p>
      </xdr:txBody>
    </xdr:sp>
    <xdr:clientData/>
  </xdr:twoCellAnchor>
  <xdr:twoCellAnchor>
    <xdr:from>
      <xdr:col>14</xdr:col>
      <xdr:colOff>557698</xdr:colOff>
      <xdr:row>2</xdr:row>
      <xdr:rowOff>14269</xdr:rowOff>
    </xdr:from>
    <xdr:to>
      <xdr:col>17</xdr:col>
      <xdr:colOff>685800</xdr:colOff>
      <xdr:row>31</xdr:row>
      <xdr:rowOff>63500</xdr:rowOff>
    </xdr:to>
    <xdr:sp macro="" textlink="">
      <xdr:nvSpPr>
        <xdr:cNvPr id="14" name="Rechteck 13">
          <a:extLst>
            <a:ext uri="{FF2B5EF4-FFF2-40B4-BE49-F238E27FC236}">
              <a16:creationId xmlns:a16="http://schemas.microsoft.com/office/drawing/2014/main" id="{393C7E03-D5D9-2942-BB10-33CD84BCF6BA}"/>
            </a:ext>
          </a:extLst>
        </xdr:cNvPr>
        <xdr:cNvSpPr/>
      </xdr:nvSpPr>
      <xdr:spPr>
        <a:xfrm>
          <a:off x="12144664" y="413820"/>
          <a:ext cx="2611024" cy="5842714"/>
        </a:xfrm>
        <a:prstGeom prst="rect">
          <a:avLst/>
        </a:prstGeom>
        <a:solidFill>
          <a:schemeClr val="accent6">
            <a:lumMod val="60000"/>
            <a:lumOff val="40000"/>
            <a:alpha val="8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600"/>
            <a:t>	</a:t>
          </a:r>
          <a:endParaRPr lang="de-DE" sz="1600" b="1">
            <a:solidFill>
              <a:schemeClr val="tx1"/>
            </a:solidFill>
          </a:endParaRPr>
        </a:p>
      </xdr:txBody>
    </xdr:sp>
    <xdr:clientData/>
  </xdr:twoCellAnchor>
  <xdr:twoCellAnchor>
    <xdr:from>
      <xdr:col>8</xdr:col>
      <xdr:colOff>63500</xdr:colOff>
      <xdr:row>17</xdr:row>
      <xdr:rowOff>165100</xdr:rowOff>
    </xdr:from>
    <xdr:to>
      <xdr:col>14</xdr:col>
      <xdr:colOff>406400</xdr:colOff>
      <xdr:row>29</xdr:row>
      <xdr:rowOff>152400</xdr:rowOff>
    </xdr:to>
    <xdr:graphicFrame macro="">
      <xdr:nvGraphicFramePr>
        <xdr:cNvPr id="15" name="Diagramm 14">
          <a:extLst>
            <a:ext uri="{FF2B5EF4-FFF2-40B4-BE49-F238E27FC236}">
              <a16:creationId xmlns:a16="http://schemas.microsoft.com/office/drawing/2014/main" id="{8C55747B-E929-B54E-BDC1-6946AAB4B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622302</xdr:colOff>
      <xdr:row>4</xdr:row>
      <xdr:rowOff>50248</xdr:rowOff>
    </xdr:from>
    <xdr:to>
      <xdr:col>17</xdr:col>
      <xdr:colOff>533400</xdr:colOff>
      <xdr:row>30</xdr:row>
      <xdr:rowOff>25400</xdr:rowOff>
    </xdr:to>
    <xdr:graphicFrame macro="">
      <xdr:nvGraphicFramePr>
        <xdr:cNvPr id="16" name="Diagramm 15">
          <a:extLst>
            <a:ext uri="{FF2B5EF4-FFF2-40B4-BE49-F238E27FC236}">
              <a16:creationId xmlns:a16="http://schemas.microsoft.com/office/drawing/2014/main" id="{558DCBB8-A0A0-E44F-B09B-5D6248D60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265780</xdr:colOff>
      <xdr:row>19</xdr:row>
      <xdr:rowOff>101601</xdr:rowOff>
    </xdr:from>
    <xdr:to>
      <xdr:col>4</xdr:col>
      <xdr:colOff>76200</xdr:colOff>
      <xdr:row>30</xdr:row>
      <xdr:rowOff>36627</xdr:rowOff>
    </xdr:to>
    <xdr:graphicFrame macro="">
      <xdr:nvGraphicFramePr>
        <xdr:cNvPr id="23" name="Diagramm 22">
          <a:extLst>
            <a:ext uri="{FF2B5EF4-FFF2-40B4-BE49-F238E27FC236}">
              <a16:creationId xmlns:a16="http://schemas.microsoft.com/office/drawing/2014/main" id="{AC6F2BEA-0CE9-DA48-964E-513EB348B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430880</xdr:colOff>
      <xdr:row>19</xdr:row>
      <xdr:rowOff>100127</xdr:rowOff>
    </xdr:from>
    <xdr:to>
      <xdr:col>7</xdr:col>
      <xdr:colOff>241300</xdr:colOff>
      <xdr:row>30</xdr:row>
      <xdr:rowOff>35153</xdr:rowOff>
    </xdr:to>
    <xdr:graphicFrame macro="">
      <xdr:nvGraphicFramePr>
        <xdr:cNvPr id="24" name="Diagramm 23">
          <a:extLst>
            <a:ext uri="{FF2B5EF4-FFF2-40B4-BE49-F238E27FC236}">
              <a16:creationId xmlns:a16="http://schemas.microsoft.com/office/drawing/2014/main" id="{729F27EB-B9FB-6549-9D22-230592B46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812925</xdr:colOff>
      <xdr:row>4</xdr:row>
      <xdr:rowOff>90127</xdr:rowOff>
    </xdr:from>
    <xdr:to>
      <xdr:col>21</xdr:col>
      <xdr:colOff>159565</xdr:colOff>
      <xdr:row>17</xdr:row>
      <xdr:rowOff>67900</xdr:rowOff>
    </xdr:to>
    <mc:AlternateContent xmlns:mc="http://schemas.openxmlformats.org/markup-compatibility/2006">
      <mc:Choice xmlns:a14="http://schemas.microsoft.com/office/drawing/2010/main" Requires="a14">
        <xdr:graphicFrame macro="">
          <xdr:nvGraphicFramePr>
            <xdr:cNvPr id="25" name="Produkt">
              <a:extLst>
                <a:ext uri="{FF2B5EF4-FFF2-40B4-BE49-F238E27FC236}">
                  <a16:creationId xmlns:a16="http://schemas.microsoft.com/office/drawing/2014/main" id="{B75324EF-E25E-E348-933A-A93D9A749FFF}"/>
                </a:ext>
              </a:extLst>
            </xdr:cNvPr>
            <xdr:cNvGraphicFramePr/>
          </xdr:nvGraphicFramePr>
          <xdr:xfrm>
            <a:off x="0" y="0"/>
            <a:ext cx="0" cy="0"/>
          </xdr:xfrm>
          <a:graphic>
            <a:graphicData uri="http://schemas.microsoft.com/office/drawing/2010/slicer">
              <sle:slicer xmlns:sle="http://schemas.microsoft.com/office/drawing/2010/slicer" name="Produkt"/>
            </a:graphicData>
          </a:graphic>
        </xdr:graphicFrame>
      </mc:Choice>
      <mc:Fallback>
        <xdr:sp macro="" textlink="">
          <xdr:nvSpPr>
            <xdr:cNvPr id="0" name=""/>
            <xdr:cNvSpPr>
              <a:spLocks noTextEdit="1"/>
            </xdr:cNvSpPr>
          </xdr:nvSpPr>
          <xdr:spPr>
            <a:xfrm>
              <a:off x="15710453" y="889228"/>
              <a:ext cx="1829561" cy="257485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18</xdr:col>
      <xdr:colOff>781424</xdr:colOff>
      <xdr:row>18</xdr:row>
      <xdr:rowOff>13637</xdr:rowOff>
    </xdr:from>
    <xdr:to>
      <xdr:col>21</xdr:col>
      <xdr:colOff>135648</xdr:colOff>
      <xdr:row>30</xdr:row>
      <xdr:rowOff>194610</xdr:rowOff>
    </xdr:to>
    <mc:AlternateContent xmlns:mc="http://schemas.openxmlformats.org/markup-compatibility/2006">
      <mc:Choice xmlns:a14="http://schemas.microsoft.com/office/drawing/2010/main" Requires="a14">
        <xdr:graphicFrame macro="">
          <xdr:nvGraphicFramePr>
            <xdr:cNvPr id="26" name="Land">
              <a:extLst>
                <a:ext uri="{FF2B5EF4-FFF2-40B4-BE49-F238E27FC236}">
                  <a16:creationId xmlns:a16="http://schemas.microsoft.com/office/drawing/2014/main" id="{09F636D2-2F70-0B40-BAC3-20A94082919C}"/>
                </a:ext>
              </a:extLst>
            </xdr:cNvPr>
            <xdr:cNvGraphicFramePr/>
          </xdr:nvGraphicFramePr>
          <xdr:xfrm>
            <a:off x="0" y="0"/>
            <a:ext cx="0" cy="0"/>
          </xdr:xfrm>
          <a:graphic>
            <a:graphicData uri="http://schemas.microsoft.com/office/drawing/2010/slicer">
              <sle:slicer xmlns:sle="http://schemas.microsoft.com/office/drawing/2010/slicer" name="Land"/>
            </a:graphicData>
          </a:graphic>
        </xdr:graphicFrame>
      </mc:Choice>
      <mc:Fallback>
        <xdr:sp macro="" textlink="">
          <xdr:nvSpPr>
            <xdr:cNvPr id="0" name=""/>
            <xdr:cNvSpPr>
              <a:spLocks noTextEdit="1"/>
            </xdr:cNvSpPr>
          </xdr:nvSpPr>
          <xdr:spPr>
            <a:xfrm>
              <a:off x="15678952" y="3609592"/>
              <a:ext cx="1837145" cy="2578276"/>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21</xdr:col>
      <xdr:colOff>283507</xdr:colOff>
      <xdr:row>4</xdr:row>
      <xdr:rowOff>93335</xdr:rowOff>
    </xdr:from>
    <xdr:to>
      <xdr:col>23</xdr:col>
      <xdr:colOff>451711</xdr:colOff>
      <xdr:row>17</xdr:row>
      <xdr:rowOff>71108</xdr:rowOff>
    </xdr:to>
    <mc:AlternateContent xmlns:mc="http://schemas.openxmlformats.org/markup-compatibility/2006">
      <mc:Choice xmlns:a14="http://schemas.microsoft.com/office/drawing/2010/main" Requires="a14">
        <xdr:graphicFrame macro="">
          <xdr:nvGraphicFramePr>
            <xdr:cNvPr id="27" name="Kunde">
              <a:extLst>
                <a:ext uri="{FF2B5EF4-FFF2-40B4-BE49-F238E27FC236}">
                  <a16:creationId xmlns:a16="http://schemas.microsoft.com/office/drawing/2014/main" id="{9C80D56A-E6D1-5442-BF01-FC94564D03E0}"/>
                </a:ext>
              </a:extLst>
            </xdr:cNvPr>
            <xdr:cNvGraphicFramePr/>
          </xdr:nvGraphicFramePr>
          <xdr:xfrm>
            <a:off x="0" y="0"/>
            <a:ext cx="0" cy="0"/>
          </xdr:xfrm>
          <a:graphic>
            <a:graphicData uri="http://schemas.microsoft.com/office/drawing/2010/slicer">
              <sle:slicer xmlns:sle="http://schemas.microsoft.com/office/drawing/2010/slicer" name="Kunde"/>
            </a:graphicData>
          </a:graphic>
        </xdr:graphicFrame>
      </mc:Choice>
      <mc:Fallback>
        <xdr:sp macro="" textlink="">
          <xdr:nvSpPr>
            <xdr:cNvPr id="0" name=""/>
            <xdr:cNvSpPr>
              <a:spLocks noTextEdit="1"/>
            </xdr:cNvSpPr>
          </xdr:nvSpPr>
          <xdr:spPr>
            <a:xfrm>
              <a:off x="17663956" y="892436"/>
              <a:ext cx="1823485" cy="257485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23</xdr:col>
      <xdr:colOff>585702</xdr:colOff>
      <xdr:row>4</xdr:row>
      <xdr:rowOff>92145</xdr:rowOff>
    </xdr:from>
    <xdr:to>
      <xdr:col>25</xdr:col>
      <xdr:colOff>749121</xdr:colOff>
      <xdr:row>17</xdr:row>
      <xdr:rowOff>73548</xdr:rowOff>
    </xdr:to>
    <mc:AlternateContent xmlns:mc="http://schemas.openxmlformats.org/markup-compatibility/2006">
      <mc:Choice xmlns:a14="http://schemas.microsoft.com/office/drawing/2010/main" Requires="a14">
        <xdr:graphicFrame macro="">
          <xdr:nvGraphicFramePr>
            <xdr:cNvPr id="30" name="Monate">
              <a:extLst>
                <a:ext uri="{FF2B5EF4-FFF2-40B4-BE49-F238E27FC236}">
                  <a16:creationId xmlns:a16="http://schemas.microsoft.com/office/drawing/2014/main" id="{542EFE44-61C1-C44C-8C6C-30A89BDD3501}"/>
                </a:ext>
              </a:extLst>
            </xdr:cNvPr>
            <xdr:cNvGraphicFramePr/>
          </xdr:nvGraphicFramePr>
          <xdr:xfrm>
            <a:off x="0" y="0"/>
            <a:ext cx="0" cy="0"/>
          </xdr:xfrm>
          <a:graphic>
            <a:graphicData uri="http://schemas.microsoft.com/office/drawing/2010/slicer">
              <sle:slicer xmlns:sle="http://schemas.microsoft.com/office/drawing/2010/slicer" name="Monate"/>
            </a:graphicData>
          </a:graphic>
        </xdr:graphicFrame>
      </mc:Choice>
      <mc:Fallback>
        <xdr:sp macro="" textlink="">
          <xdr:nvSpPr>
            <xdr:cNvPr id="0" name=""/>
            <xdr:cNvSpPr>
              <a:spLocks noTextEdit="1"/>
            </xdr:cNvSpPr>
          </xdr:nvSpPr>
          <xdr:spPr>
            <a:xfrm>
              <a:off x="19621432" y="891246"/>
              <a:ext cx="1818700" cy="257848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23</xdr:col>
      <xdr:colOff>550473</xdr:colOff>
      <xdr:row>18</xdr:row>
      <xdr:rowOff>20803</xdr:rowOff>
    </xdr:from>
    <xdr:to>
      <xdr:col>25</xdr:col>
      <xdr:colOff>731419</xdr:colOff>
      <xdr:row>30</xdr:row>
      <xdr:rowOff>155209</xdr:rowOff>
    </xdr:to>
    <mc:AlternateContent xmlns:mc="http://schemas.openxmlformats.org/markup-compatibility/2006">
      <mc:Choice xmlns:a14="http://schemas.microsoft.com/office/drawing/2010/main" Requires="a14">
        <xdr:graphicFrame macro="">
          <xdr:nvGraphicFramePr>
            <xdr:cNvPr id="32" name="Kunde 1">
              <a:extLst>
                <a:ext uri="{FF2B5EF4-FFF2-40B4-BE49-F238E27FC236}">
                  <a16:creationId xmlns:a16="http://schemas.microsoft.com/office/drawing/2014/main" id="{5024BD2A-8302-934C-ADB5-A400CA522194}"/>
                </a:ext>
              </a:extLst>
            </xdr:cNvPr>
            <xdr:cNvGraphicFramePr/>
          </xdr:nvGraphicFramePr>
          <xdr:xfrm>
            <a:off x="0" y="0"/>
            <a:ext cx="0" cy="0"/>
          </xdr:xfrm>
          <a:graphic>
            <a:graphicData uri="http://schemas.microsoft.com/office/drawing/2010/slicer">
              <sle:slicer xmlns:sle="http://schemas.microsoft.com/office/drawing/2010/slicer" name="Kunde 1"/>
            </a:graphicData>
          </a:graphic>
        </xdr:graphicFrame>
      </mc:Choice>
      <mc:Fallback>
        <xdr:sp macro="" textlink="">
          <xdr:nvSpPr>
            <xdr:cNvPr id="0" name=""/>
            <xdr:cNvSpPr>
              <a:spLocks noTextEdit="1"/>
            </xdr:cNvSpPr>
          </xdr:nvSpPr>
          <xdr:spPr>
            <a:xfrm>
              <a:off x="19586203" y="3616758"/>
              <a:ext cx="1836227" cy="2531709"/>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21</xdr:col>
      <xdr:colOff>222638</xdr:colOff>
      <xdr:row>18</xdr:row>
      <xdr:rowOff>20888</xdr:rowOff>
    </xdr:from>
    <xdr:to>
      <xdr:col>23</xdr:col>
      <xdr:colOff>402950</xdr:colOff>
      <xdr:row>30</xdr:row>
      <xdr:rowOff>201860</xdr:rowOff>
    </xdr:to>
    <mc:AlternateContent xmlns:mc="http://schemas.openxmlformats.org/markup-compatibility/2006">
      <mc:Choice xmlns:a14="http://schemas.microsoft.com/office/drawing/2010/main" Requires="a14">
        <xdr:graphicFrame macro="">
          <xdr:nvGraphicFramePr>
            <xdr:cNvPr id="34" name="Monate 1">
              <a:extLst>
                <a:ext uri="{FF2B5EF4-FFF2-40B4-BE49-F238E27FC236}">
                  <a16:creationId xmlns:a16="http://schemas.microsoft.com/office/drawing/2014/main" id="{B38AABF6-B84A-434E-B573-17FC7101E2E9}"/>
                </a:ext>
              </a:extLst>
            </xdr:cNvPr>
            <xdr:cNvGraphicFramePr/>
          </xdr:nvGraphicFramePr>
          <xdr:xfrm>
            <a:off x="0" y="0"/>
            <a:ext cx="0" cy="0"/>
          </xdr:xfrm>
          <a:graphic>
            <a:graphicData uri="http://schemas.microsoft.com/office/drawing/2010/slicer">
              <sle:slicer xmlns:sle="http://schemas.microsoft.com/office/drawing/2010/slicer" name="Monate 1"/>
            </a:graphicData>
          </a:graphic>
        </xdr:graphicFrame>
      </mc:Choice>
      <mc:Fallback>
        <xdr:sp macro="" textlink="">
          <xdr:nvSpPr>
            <xdr:cNvPr id="0" name=""/>
            <xdr:cNvSpPr>
              <a:spLocks noTextEdit="1"/>
            </xdr:cNvSpPr>
          </xdr:nvSpPr>
          <xdr:spPr>
            <a:xfrm>
              <a:off x="17603087" y="3616843"/>
              <a:ext cx="1835593" cy="25782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14</xdr:col>
      <xdr:colOff>763667</xdr:colOff>
      <xdr:row>3</xdr:row>
      <xdr:rowOff>6026</xdr:rowOff>
    </xdr:from>
    <xdr:to>
      <xdr:col>17</xdr:col>
      <xdr:colOff>603092</xdr:colOff>
      <xdr:row>4</xdr:row>
      <xdr:rowOff>161657</xdr:rowOff>
    </xdr:to>
    <xdr:sp macro="" textlink="">
      <xdr:nvSpPr>
        <xdr:cNvPr id="5" name="Textfeld 4">
          <a:extLst>
            <a:ext uri="{FF2B5EF4-FFF2-40B4-BE49-F238E27FC236}">
              <a16:creationId xmlns:a16="http://schemas.microsoft.com/office/drawing/2014/main" id="{96F1B1F6-E109-BC4C-842B-EFCF4A9AEE47}"/>
            </a:ext>
          </a:extLst>
        </xdr:cNvPr>
        <xdr:cNvSpPr txBox="1"/>
      </xdr:nvSpPr>
      <xdr:spPr>
        <a:xfrm>
          <a:off x="12350633" y="605352"/>
          <a:ext cx="2322347" cy="3554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solidFill>
                <a:schemeClr val="bg1"/>
              </a:solidFill>
            </a:rPr>
            <a:t>Costumer Satisfaction</a:t>
          </a:r>
          <a:endParaRPr lang="de-DE" sz="1800">
            <a:solidFill>
              <a:schemeClr val="bg1"/>
            </a:solidFill>
          </a:endParaRPr>
        </a:p>
      </xdr:txBody>
    </xdr:sp>
    <xdr:clientData/>
  </xdr:twoCellAnchor>
  <xdr:twoCellAnchor>
    <xdr:from>
      <xdr:col>18</xdr:col>
      <xdr:colOff>753082</xdr:colOff>
      <xdr:row>2</xdr:row>
      <xdr:rowOff>86670</xdr:rowOff>
    </xdr:from>
    <xdr:to>
      <xdr:col>21</xdr:col>
      <xdr:colOff>593635</xdr:colOff>
      <xdr:row>4</xdr:row>
      <xdr:rowOff>42527</xdr:rowOff>
    </xdr:to>
    <xdr:sp macro="" textlink="">
      <xdr:nvSpPr>
        <xdr:cNvPr id="28" name="Textfeld 27">
          <a:extLst>
            <a:ext uri="{FF2B5EF4-FFF2-40B4-BE49-F238E27FC236}">
              <a16:creationId xmlns:a16="http://schemas.microsoft.com/office/drawing/2014/main" id="{66E2B70E-A70F-954C-AAFA-B1993BCF4077}"/>
            </a:ext>
          </a:extLst>
        </xdr:cNvPr>
        <xdr:cNvSpPr txBox="1"/>
      </xdr:nvSpPr>
      <xdr:spPr>
        <a:xfrm>
          <a:off x="15612082" y="493070"/>
          <a:ext cx="2317053" cy="3622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solidFill>
                <a:schemeClr val="tx1"/>
              </a:solidFill>
            </a:rPr>
            <a:t>Filter</a:t>
          </a:r>
          <a:r>
            <a:rPr lang="de-DE" sz="1800" b="1" baseline="0">
              <a:solidFill>
                <a:schemeClr val="tx1"/>
              </a:solidFill>
            </a:rPr>
            <a:t> Settings</a:t>
          </a:r>
          <a:endParaRPr lang="de-DE" sz="1800"/>
        </a:p>
      </xdr:txBody>
    </xdr:sp>
    <xdr:clientData/>
  </xdr:twoCellAnchor>
  <xdr:twoCellAnchor>
    <xdr:from>
      <xdr:col>1</xdr:col>
      <xdr:colOff>596900</xdr:colOff>
      <xdr:row>2</xdr:row>
      <xdr:rowOff>139700</xdr:rowOff>
    </xdr:from>
    <xdr:to>
      <xdr:col>4</xdr:col>
      <xdr:colOff>436325</xdr:colOff>
      <xdr:row>4</xdr:row>
      <xdr:rowOff>95556</xdr:rowOff>
    </xdr:to>
    <xdr:sp macro="" textlink="">
      <xdr:nvSpPr>
        <xdr:cNvPr id="29" name="Textfeld 28">
          <a:extLst>
            <a:ext uri="{FF2B5EF4-FFF2-40B4-BE49-F238E27FC236}">
              <a16:creationId xmlns:a16="http://schemas.microsoft.com/office/drawing/2014/main" id="{22A79AC6-50D7-FE47-A96B-A3335D011944}"/>
            </a:ext>
          </a:extLst>
        </xdr:cNvPr>
        <xdr:cNvSpPr txBox="1"/>
      </xdr:nvSpPr>
      <xdr:spPr>
        <a:xfrm>
          <a:off x="1422400" y="546100"/>
          <a:ext cx="2315925" cy="3622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solidFill>
                <a:schemeClr val="bg1"/>
              </a:solidFill>
            </a:rPr>
            <a:t>Costumer satisfaction</a:t>
          </a:r>
          <a:endParaRPr lang="de-DE" sz="1800">
            <a:solidFill>
              <a:schemeClr val="bg1"/>
            </a:solidFill>
          </a:endParaRPr>
        </a:p>
      </xdr:txBody>
    </xdr:sp>
    <xdr:clientData/>
  </xdr:twoCellAnchor>
  <xdr:twoCellAnchor>
    <xdr:from>
      <xdr:col>7</xdr:col>
      <xdr:colOff>723900</xdr:colOff>
      <xdr:row>2</xdr:row>
      <xdr:rowOff>165100</xdr:rowOff>
    </xdr:from>
    <xdr:to>
      <xdr:col>10</xdr:col>
      <xdr:colOff>563325</xdr:colOff>
      <xdr:row>4</xdr:row>
      <xdr:rowOff>120956</xdr:rowOff>
    </xdr:to>
    <xdr:sp macro="" textlink="">
      <xdr:nvSpPr>
        <xdr:cNvPr id="31" name="Textfeld 30">
          <a:extLst>
            <a:ext uri="{FF2B5EF4-FFF2-40B4-BE49-F238E27FC236}">
              <a16:creationId xmlns:a16="http://schemas.microsoft.com/office/drawing/2014/main" id="{646A7D56-A692-C84F-A9E9-B32FAB019D87}"/>
            </a:ext>
          </a:extLst>
        </xdr:cNvPr>
        <xdr:cNvSpPr txBox="1"/>
      </xdr:nvSpPr>
      <xdr:spPr>
        <a:xfrm>
          <a:off x="6502400" y="571500"/>
          <a:ext cx="2315925" cy="3622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solidFill>
                <a:schemeClr val="bg1"/>
              </a:solidFill>
            </a:rPr>
            <a:t>Map</a:t>
          </a:r>
          <a:r>
            <a:rPr lang="de-DE" sz="1800" b="1" baseline="0">
              <a:solidFill>
                <a:schemeClr val="bg1"/>
              </a:solidFill>
            </a:rPr>
            <a:t> Density</a:t>
          </a:r>
          <a:endParaRPr lang="de-DE" sz="1800">
            <a:solidFill>
              <a:schemeClr val="bg1"/>
            </a:solidFill>
          </a:endParaRPr>
        </a:p>
      </xdr:txBody>
    </xdr:sp>
    <xdr:clientData/>
  </xdr:twoCellAnchor>
  <xdr:twoCellAnchor>
    <xdr:from>
      <xdr:col>8</xdr:col>
      <xdr:colOff>106680</xdr:colOff>
      <xdr:row>17</xdr:row>
      <xdr:rowOff>43180</xdr:rowOff>
    </xdr:from>
    <xdr:to>
      <xdr:col>12</xdr:col>
      <xdr:colOff>170180</xdr:colOff>
      <xdr:row>18</xdr:row>
      <xdr:rowOff>202236</xdr:rowOff>
    </xdr:to>
    <xdr:sp macro="" textlink="">
      <xdr:nvSpPr>
        <xdr:cNvPr id="33" name="Textfeld 32">
          <a:extLst>
            <a:ext uri="{FF2B5EF4-FFF2-40B4-BE49-F238E27FC236}">
              <a16:creationId xmlns:a16="http://schemas.microsoft.com/office/drawing/2014/main" id="{968200D9-B710-7C40-A771-00CF83ADFF3B}"/>
            </a:ext>
          </a:extLst>
        </xdr:cNvPr>
        <xdr:cNvSpPr txBox="1"/>
      </xdr:nvSpPr>
      <xdr:spPr>
        <a:xfrm>
          <a:off x="6690360" y="3497580"/>
          <a:ext cx="3355340" cy="3622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solidFill>
                <a:schemeClr val="bg1"/>
              </a:solidFill>
            </a:rPr>
            <a:t>Employees</a:t>
          </a:r>
          <a:r>
            <a:rPr lang="de-DE" sz="1800" b="1" baseline="0">
              <a:solidFill>
                <a:schemeClr val="bg1"/>
              </a:solidFill>
            </a:rPr>
            <a:t> per Location</a:t>
          </a:r>
          <a:endParaRPr lang="de-DE" sz="1800">
            <a:solidFill>
              <a:schemeClr val="bg1"/>
            </a:solidFill>
          </a:endParaRPr>
        </a:p>
      </xdr:txBody>
    </xdr:sp>
    <xdr:clientData/>
  </xdr:twoCellAnchor>
  <xdr:twoCellAnchor>
    <xdr:from>
      <xdr:col>2</xdr:col>
      <xdr:colOff>1</xdr:colOff>
      <xdr:row>17</xdr:row>
      <xdr:rowOff>35560</xdr:rowOff>
    </xdr:from>
    <xdr:to>
      <xdr:col>4</xdr:col>
      <xdr:colOff>63501</xdr:colOff>
      <xdr:row>18</xdr:row>
      <xdr:rowOff>194616</xdr:rowOff>
    </xdr:to>
    <xdr:sp macro="" textlink="">
      <xdr:nvSpPr>
        <xdr:cNvPr id="35" name="Textfeld 34">
          <a:extLst>
            <a:ext uri="{FF2B5EF4-FFF2-40B4-BE49-F238E27FC236}">
              <a16:creationId xmlns:a16="http://schemas.microsoft.com/office/drawing/2014/main" id="{7B48C36F-3B20-A644-B90C-636E91ED5DD0}"/>
            </a:ext>
          </a:extLst>
        </xdr:cNvPr>
        <xdr:cNvSpPr txBox="1"/>
      </xdr:nvSpPr>
      <xdr:spPr>
        <a:xfrm>
          <a:off x="1645921" y="3489960"/>
          <a:ext cx="1709420" cy="3622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solidFill>
                <a:schemeClr val="bg1"/>
              </a:solidFill>
            </a:rPr>
            <a:t>Delivery Date</a:t>
          </a:r>
          <a:endParaRPr lang="de-DE" sz="1800">
            <a:solidFill>
              <a:schemeClr val="bg1"/>
            </a:solidFill>
          </a:endParaRPr>
        </a:p>
      </xdr:txBody>
    </xdr:sp>
    <xdr:clientData/>
  </xdr:twoCellAnchor>
  <xdr:twoCellAnchor>
    <xdr:from>
      <xdr:col>5</xdr:col>
      <xdr:colOff>160020</xdr:colOff>
      <xdr:row>17</xdr:row>
      <xdr:rowOff>33020</xdr:rowOff>
    </xdr:from>
    <xdr:to>
      <xdr:col>7</xdr:col>
      <xdr:colOff>223520</xdr:colOff>
      <xdr:row>18</xdr:row>
      <xdr:rowOff>192076</xdr:rowOff>
    </xdr:to>
    <xdr:sp macro="" textlink="">
      <xdr:nvSpPr>
        <xdr:cNvPr id="36" name="Textfeld 35">
          <a:extLst>
            <a:ext uri="{FF2B5EF4-FFF2-40B4-BE49-F238E27FC236}">
              <a16:creationId xmlns:a16="http://schemas.microsoft.com/office/drawing/2014/main" id="{C6E9C7D8-8745-9244-8DEB-D5877BA7CA55}"/>
            </a:ext>
          </a:extLst>
        </xdr:cNvPr>
        <xdr:cNvSpPr txBox="1"/>
      </xdr:nvSpPr>
      <xdr:spPr>
        <a:xfrm>
          <a:off x="4274820" y="3487420"/>
          <a:ext cx="1709420" cy="3622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800" b="1">
              <a:solidFill>
                <a:schemeClr val="bg1"/>
              </a:solidFill>
            </a:rPr>
            <a:t>Return Date</a:t>
          </a:r>
          <a:endParaRPr lang="de-DE" sz="18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228696</xdr:colOff>
      <xdr:row>1</xdr:row>
      <xdr:rowOff>133589</xdr:rowOff>
    </xdr:from>
    <xdr:to>
      <xdr:col>13</xdr:col>
      <xdr:colOff>120746</xdr:colOff>
      <xdr:row>12</xdr:row>
      <xdr:rowOff>79113</xdr:rowOff>
    </xdr:to>
    <mc:AlternateContent xmlns:mc="http://schemas.openxmlformats.org/markup-compatibility/2006">
      <mc:Choice xmlns:cx4="http://schemas.microsoft.com/office/drawing/2016/5/10/chartex" Requires="cx4">
        <xdr:graphicFrame macro="">
          <xdr:nvGraphicFramePr>
            <xdr:cNvPr id="4" name="Diagramm 3">
              <a:extLst>
                <a:ext uri="{FF2B5EF4-FFF2-40B4-BE49-F238E27FC236}">
                  <a16:creationId xmlns:a16="http://schemas.microsoft.com/office/drawing/2014/main" id="{68E802DE-B60B-D549-964D-5C9D0D540E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623896" y="400289"/>
              <a:ext cx="3194050" cy="2180724"/>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0</xdr:col>
      <xdr:colOff>378258</xdr:colOff>
      <xdr:row>16</xdr:row>
      <xdr:rowOff>100089</xdr:rowOff>
    </xdr:from>
    <xdr:to>
      <xdr:col>3</xdr:col>
      <xdr:colOff>686694</xdr:colOff>
      <xdr:row>27</xdr:row>
      <xdr:rowOff>14309</xdr:rowOff>
    </xdr:to>
    <xdr:graphicFrame macro="">
      <xdr:nvGraphicFramePr>
        <xdr:cNvPr id="5" name="Diagramm 4">
          <a:extLst>
            <a:ext uri="{FF2B5EF4-FFF2-40B4-BE49-F238E27FC236}">
              <a16:creationId xmlns:a16="http://schemas.microsoft.com/office/drawing/2014/main" id="{C5CFB303-BF23-5D43-B9B8-BB8DBDFA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40</xdr:row>
      <xdr:rowOff>0</xdr:rowOff>
    </xdr:from>
    <xdr:to>
      <xdr:col>2</xdr:col>
      <xdr:colOff>1189621</xdr:colOff>
      <xdr:row>52</xdr:row>
      <xdr:rowOff>16076</xdr:rowOff>
    </xdr:to>
    <xdr:graphicFrame macro="">
      <xdr:nvGraphicFramePr>
        <xdr:cNvPr id="2" name="Diagramm 1">
          <a:extLst>
            <a:ext uri="{FF2B5EF4-FFF2-40B4-BE49-F238E27FC236}">
              <a16:creationId xmlns:a16="http://schemas.microsoft.com/office/drawing/2014/main" id="{0E9E1F4C-651F-AC4D-9B9B-A98322D46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32152</xdr:colOff>
      <xdr:row>40</xdr:row>
      <xdr:rowOff>112531</xdr:rowOff>
    </xdr:from>
    <xdr:to>
      <xdr:col>6</xdr:col>
      <xdr:colOff>144684</xdr:colOff>
      <xdr:row>51</xdr:row>
      <xdr:rowOff>176835</xdr:rowOff>
    </xdr:to>
    <xdr:graphicFrame macro="">
      <xdr:nvGraphicFramePr>
        <xdr:cNvPr id="3" name="Diagramm 2">
          <a:extLst>
            <a:ext uri="{FF2B5EF4-FFF2-40B4-BE49-F238E27FC236}">
              <a16:creationId xmlns:a16="http://schemas.microsoft.com/office/drawing/2014/main" id="{F2E07A29-D1A9-F149-A650-830A3CD4E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19242</xdr:rowOff>
    </xdr:from>
    <xdr:to>
      <xdr:col>3</xdr:col>
      <xdr:colOff>163175</xdr:colOff>
      <xdr:row>25</xdr:row>
      <xdr:rowOff>120843</xdr:rowOff>
    </xdr:to>
    <xdr:graphicFrame macro="">
      <xdr:nvGraphicFramePr>
        <xdr:cNvPr id="3" name="Diagramm 2">
          <a:extLst>
            <a:ext uri="{FF2B5EF4-FFF2-40B4-BE49-F238E27FC236}">
              <a16:creationId xmlns:a16="http://schemas.microsoft.com/office/drawing/2014/main" id="{50F5F8AC-3F2D-014F-930C-4A3550658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100060</xdr:colOff>
      <xdr:row>12</xdr:row>
      <xdr:rowOff>5772</xdr:rowOff>
    </xdr:from>
    <xdr:to>
      <xdr:col>4</xdr:col>
      <xdr:colOff>111990</xdr:colOff>
      <xdr:row>16</xdr:row>
      <xdr:rowOff>73506</xdr:rowOff>
    </xdr:to>
    <xdr:pic>
      <xdr:nvPicPr>
        <xdr:cNvPr id="4" name="Grafik 3" descr="Mann">
          <a:extLst>
            <a:ext uri="{FF2B5EF4-FFF2-40B4-BE49-F238E27FC236}">
              <a16:creationId xmlns:a16="http://schemas.microsoft.com/office/drawing/2014/main" id="{438136A6-B271-D642-8AD7-8940AB37F4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661121" y="2122439"/>
          <a:ext cx="916324" cy="914400"/>
        </a:xfrm>
        <a:prstGeom prst="rect">
          <a:avLst/>
        </a:prstGeom>
      </xdr:spPr>
    </xdr:pic>
    <xdr:clientData/>
  </xdr:twoCellAnchor>
  <xdr:twoCellAnchor editAs="oneCell">
    <xdr:from>
      <xdr:col>3</xdr:col>
      <xdr:colOff>829257</xdr:colOff>
      <xdr:row>12</xdr:row>
      <xdr:rowOff>5681</xdr:rowOff>
    </xdr:from>
    <xdr:to>
      <xdr:col>5</xdr:col>
      <xdr:colOff>13764</xdr:colOff>
      <xdr:row>16</xdr:row>
      <xdr:rowOff>73415</xdr:rowOff>
    </xdr:to>
    <xdr:pic>
      <xdr:nvPicPr>
        <xdr:cNvPr id="6" name="Grafik 5" descr="Frau">
          <a:extLst>
            <a:ext uri="{FF2B5EF4-FFF2-40B4-BE49-F238E27FC236}">
              <a16:creationId xmlns:a16="http://schemas.microsoft.com/office/drawing/2014/main" id="{BE5541DF-BA63-C044-9056-C44BA0D466B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390318" y="2122348"/>
          <a:ext cx="916325" cy="914400"/>
        </a:xfrm>
        <a:prstGeom prst="rect">
          <a:avLst/>
        </a:prstGeom>
      </xdr:spPr>
    </xdr:pic>
    <xdr:clientData/>
  </xdr:twoCellAnchor>
  <xdr:twoCellAnchor>
    <xdr:from>
      <xdr:col>0</xdr:col>
      <xdr:colOff>148167</xdr:colOff>
      <xdr:row>28</xdr:row>
      <xdr:rowOff>16933</xdr:rowOff>
    </xdr:from>
    <xdr:to>
      <xdr:col>2</xdr:col>
      <xdr:colOff>1223434</xdr:colOff>
      <xdr:row>41</xdr:row>
      <xdr:rowOff>118533</xdr:rowOff>
    </xdr:to>
    <xdr:graphicFrame macro="">
      <xdr:nvGraphicFramePr>
        <xdr:cNvPr id="5" name="Diagramm 4">
          <a:extLst>
            <a:ext uri="{FF2B5EF4-FFF2-40B4-BE49-F238E27FC236}">
              <a16:creationId xmlns:a16="http://schemas.microsoft.com/office/drawing/2014/main" id="{DFA75DFE-0C1D-B040-9DAA-D5E88898C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12700</xdr:colOff>
      <xdr:row>12</xdr:row>
      <xdr:rowOff>118391</xdr:rowOff>
    </xdr:from>
    <xdr:to>
      <xdr:col>4</xdr:col>
      <xdr:colOff>685800</xdr:colOff>
      <xdr:row>26</xdr:row>
      <xdr:rowOff>91700</xdr:rowOff>
    </xdr:to>
    <xdr:graphicFrame macro="">
      <xdr:nvGraphicFramePr>
        <xdr:cNvPr id="2" name="Diagramm 1">
          <a:extLst>
            <a:ext uri="{FF2B5EF4-FFF2-40B4-BE49-F238E27FC236}">
              <a16:creationId xmlns:a16="http://schemas.microsoft.com/office/drawing/2014/main" id="{0CA9B5C3-E7C7-104B-8C19-9F597257A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t Kessler" refreshedDate="44278.460135532405" createdVersion="6" refreshedVersion="6" minRefreshableVersion="3" recordCount="393" xr:uid="{8456F861-8E5E-2343-B593-3127166147F8}">
  <cacheSource type="worksheet">
    <worksheetSource ref="A1:M394" sheet="Daten"/>
  </cacheSource>
  <cacheFields count="14">
    <cacheField name="Kategorie" numFmtId="0">
      <sharedItems/>
    </cacheField>
    <cacheField name="Datum" numFmtId="14">
      <sharedItems containsSemiMixedTypes="0" containsNonDate="0" containsDate="1" containsString="0" minDate="2019-01-01T00:00:00" maxDate="2020-01-01T00:00:00" count="365">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3" base="1">
        <rangePr groupBy="days" startDate="2019-01-01T00:00:00" endDate="2020-01-01T00:00:00"/>
        <groupItems count="368">
          <s v="&lt;01.01.19"/>
          <s v="01. Jan"/>
          <s v="02. Jan"/>
          <s v="03. Jan"/>
          <s v="04. Jan"/>
          <s v="05. Jan"/>
          <s v="06. Jan"/>
          <s v="07. Jan"/>
          <s v="08. Jan"/>
          <s v="09. Jan"/>
          <s v="10. Jan"/>
          <s v="11. Jan"/>
          <s v="12. Jan"/>
          <s v="13. Jan"/>
          <s v="14. Jan"/>
          <s v="15. Jan"/>
          <s v="16. Jan"/>
          <s v="17. Jan"/>
          <s v="18. Jan"/>
          <s v="19. Jan"/>
          <s v="20. Jan"/>
          <s v="21. Jan"/>
          <s v="22. Jan"/>
          <s v="23. Jan"/>
          <s v="24. Jan"/>
          <s v="25. Jan"/>
          <s v="26. Jan"/>
          <s v="27. Jan"/>
          <s v="28. Jan"/>
          <s v="29. Jan"/>
          <s v="30. Jan"/>
          <s v="31. Jan"/>
          <s v="01. Feb"/>
          <s v="02. Feb"/>
          <s v="03. Feb"/>
          <s v="04. Feb"/>
          <s v="05. Feb"/>
          <s v="06. Feb"/>
          <s v="07. Feb"/>
          <s v="08. Feb"/>
          <s v="09. Feb"/>
          <s v="10. Feb"/>
          <s v="11. Feb"/>
          <s v="12. Feb"/>
          <s v="13. Feb"/>
          <s v="14. Feb"/>
          <s v="15. Feb"/>
          <s v="16. Feb"/>
          <s v="17. Feb"/>
          <s v="18. Feb"/>
          <s v="19. Feb"/>
          <s v="20. Feb"/>
          <s v="21. Feb"/>
          <s v="22. Feb"/>
          <s v="23. Feb"/>
          <s v="24. Feb"/>
          <s v="25. Feb"/>
          <s v="26. Feb"/>
          <s v="27. Feb"/>
          <s v="28. Feb"/>
          <s v="29. Feb"/>
          <s v="01. Mär"/>
          <s v="02. Mär"/>
          <s v="03. Mär"/>
          <s v="04. Mär"/>
          <s v="05. Mär"/>
          <s v="06. Mär"/>
          <s v="07. Mär"/>
          <s v="08. Mär"/>
          <s v="09. Mär"/>
          <s v="10. Mär"/>
          <s v="11. Mär"/>
          <s v="12. Mär"/>
          <s v="13. Mär"/>
          <s v="14. Mär"/>
          <s v="15. Mär"/>
          <s v="16. Mär"/>
          <s v="17. Mär"/>
          <s v="18. Mär"/>
          <s v="19. Mär"/>
          <s v="20. Mär"/>
          <s v="21. Mär"/>
          <s v="22. Mär"/>
          <s v="23. Mär"/>
          <s v="24. Mär"/>
          <s v="25. Mär"/>
          <s v="26. Mär"/>
          <s v="27. Mär"/>
          <s v="28. Mär"/>
          <s v="29. Mär"/>
          <s v="30. Mär"/>
          <s v="31. Mär"/>
          <s v="01. Apr"/>
          <s v="02. Apr"/>
          <s v="03. Apr"/>
          <s v="04. Apr"/>
          <s v="05. Apr"/>
          <s v="06. Apr"/>
          <s v="07. Apr"/>
          <s v="08. Apr"/>
          <s v="09. Apr"/>
          <s v="10. Apr"/>
          <s v="11. Apr"/>
          <s v="12. Apr"/>
          <s v="13. Apr"/>
          <s v="14. Apr"/>
          <s v="15. Apr"/>
          <s v="16. Apr"/>
          <s v="17. Apr"/>
          <s v="18. Apr"/>
          <s v="19. Apr"/>
          <s v="20. Apr"/>
          <s v="21. Apr"/>
          <s v="22. Apr"/>
          <s v="23. Apr"/>
          <s v="24. Apr"/>
          <s v="25. Apr"/>
          <s v="26. Apr"/>
          <s v="27. Apr"/>
          <s v="28. Apr"/>
          <s v="29. Apr"/>
          <s v="30. Apr"/>
          <s v="01. Mai"/>
          <s v="02. Mai"/>
          <s v="03. Mai"/>
          <s v="04. Mai"/>
          <s v="05. Mai"/>
          <s v="06. Mai"/>
          <s v="07. Mai"/>
          <s v="08. Mai"/>
          <s v="09. Mai"/>
          <s v="10. Mai"/>
          <s v="11. Mai"/>
          <s v="12. Mai"/>
          <s v="13. Mai"/>
          <s v="14. Mai"/>
          <s v="15. Mai"/>
          <s v="16. Mai"/>
          <s v="17. Mai"/>
          <s v="18. Mai"/>
          <s v="19. Mai"/>
          <s v="20. Mai"/>
          <s v="21. Mai"/>
          <s v="22. Mai"/>
          <s v="23. Mai"/>
          <s v="24. Mai"/>
          <s v="25. Mai"/>
          <s v="26. Mai"/>
          <s v="27. Mai"/>
          <s v="28. Mai"/>
          <s v="29. Mai"/>
          <s v="30. Mai"/>
          <s v="31. Mai"/>
          <s v="01. Jun"/>
          <s v="02. Jun"/>
          <s v="03. Jun"/>
          <s v="04. Jun"/>
          <s v="05. Jun"/>
          <s v="06. Jun"/>
          <s v="07. Jun"/>
          <s v="08. Jun"/>
          <s v="09. Jun"/>
          <s v="10. Jun"/>
          <s v="11. Jun"/>
          <s v="12. Jun"/>
          <s v="13. Jun"/>
          <s v="14. Jun"/>
          <s v="15. Jun"/>
          <s v="16. Jun"/>
          <s v="17. Jun"/>
          <s v="18. Jun"/>
          <s v="19. Jun"/>
          <s v="20. Jun"/>
          <s v="21. Jun"/>
          <s v="22. Jun"/>
          <s v="23. Jun"/>
          <s v="24. Jun"/>
          <s v="25. Jun"/>
          <s v="26. Jun"/>
          <s v="27. Jun"/>
          <s v="28. Jun"/>
          <s v="29. Jun"/>
          <s v="30. Jun"/>
          <s v="01. Jul"/>
          <s v="02. Jul"/>
          <s v="03. Jul"/>
          <s v="04. Jul"/>
          <s v="05. Jul"/>
          <s v="06. Jul"/>
          <s v="07. Jul"/>
          <s v="08. Jul"/>
          <s v="09. Jul"/>
          <s v="10. Jul"/>
          <s v="11. Jul"/>
          <s v="12. Jul"/>
          <s v="13. Jul"/>
          <s v="14. Jul"/>
          <s v="15. Jul"/>
          <s v="16. Jul"/>
          <s v="17. Jul"/>
          <s v="18. Jul"/>
          <s v="19. Jul"/>
          <s v="20. Jul"/>
          <s v="21. Jul"/>
          <s v="22. Jul"/>
          <s v="23. Jul"/>
          <s v="24. Jul"/>
          <s v="25. Jul"/>
          <s v="26. Jul"/>
          <s v="27. Jul"/>
          <s v="28. Jul"/>
          <s v="29. Jul"/>
          <s v="30. Jul"/>
          <s v="31. Jul"/>
          <s v="01. Aug"/>
          <s v="02. Aug"/>
          <s v="03. Aug"/>
          <s v="04. Aug"/>
          <s v="05. Aug"/>
          <s v="06. Aug"/>
          <s v="07. Aug"/>
          <s v="08. Aug"/>
          <s v="09. Aug"/>
          <s v="10. Aug"/>
          <s v="11. Aug"/>
          <s v="12. Aug"/>
          <s v="13. Aug"/>
          <s v="14. Aug"/>
          <s v="15. Aug"/>
          <s v="16. Aug"/>
          <s v="17. Aug"/>
          <s v="18. Aug"/>
          <s v="19. Aug"/>
          <s v="20. Aug"/>
          <s v="21. Aug"/>
          <s v="22. Aug"/>
          <s v="23. Aug"/>
          <s v="24. Aug"/>
          <s v="25. Aug"/>
          <s v="26. Aug"/>
          <s v="27. Aug"/>
          <s v="28. Aug"/>
          <s v="29. Aug"/>
          <s v="30. Aug"/>
          <s v="31. Aug"/>
          <s v="01. Sep"/>
          <s v="02. Sep"/>
          <s v="03. Sep"/>
          <s v="04. Sep"/>
          <s v="05. Sep"/>
          <s v="06. Sep"/>
          <s v="07. Sep"/>
          <s v="08. Sep"/>
          <s v="09. Sep"/>
          <s v="10. Sep"/>
          <s v="11. Sep"/>
          <s v="12. Sep"/>
          <s v="13. Sep"/>
          <s v="14. Sep"/>
          <s v="15. Sep"/>
          <s v="16. Sep"/>
          <s v="17. Sep"/>
          <s v="18. Sep"/>
          <s v="19. Sep"/>
          <s v="20. Sep"/>
          <s v="21. Sep"/>
          <s v="22. Sep"/>
          <s v="23. Sep"/>
          <s v="24. Sep"/>
          <s v="25. Sep"/>
          <s v="26. Sep"/>
          <s v="27. Sep"/>
          <s v="28. Sep"/>
          <s v="29. Sep"/>
          <s v="30. Sep"/>
          <s v="01. Okt"/>
          <s v="02. Okt"/>
          <s v="03. Okt"/>
          <s v="04. Okt"/>
          <s v="05. Okt"/>
          <s v="06. Okt"/>
          <s v="07. Okt"/>
          <s v="08. Okt"/>
          <s v="09. Okt"/>
          <s v="10. Okt"/>
          <s v="11. Okt"/>
          <s v="12. Okt"/>
          <s v="13. Okt"/>
          <s v="14. Okt"/>
          <s v="15. Okt"/>
          <s v="16. Okt"/>
          <s v="17. Okt"/>
          <s v="18. Okt"/>
          <s v="19. Okt"/>
          <s v="20. Okt"/>
          <s v="21. Okt"/>
          <s v="22. Okt"/>
          <s v="23. Okt"/>
          <s v="24. Okt"/>
          <s v="25. Okt"/>
          <s v="26. Okt"/>
          <s v="27. Okt"/>
          <s v="28. Okt"/>
          <s v="29. Okt"/>
          <s v="30. Okt"/>
          <s v="31. Okt"/>
          <s v="01. Nov"/>
          <s v="02. Nov"/>
          <s v="03. Nov"/>
          <s v="04. Nov"/>
          <s v="05. Nov"/>
          <s v="06. Nov"/>
          <s v="07. Nov"/>
          <s v="08. Nov"/>
          <s v="09. Nov"/>
          <s v="10. Nov"/>
          <s v="11. Nov"/>
          <s v="12. Nov"/>
          <s v="13. Nov"/>
          <s v="14. Nov"/>
          <s v="15. Nov"/>
          <s v="16. Nov"/>
          <s v="17. Nov"/>
          <s v="18. Nov"/>
          <s v="19. Nov"/>
          <s v="20. Nov"/>
          <s v="21. Nov"/>
          <s v="22. Nov"/>
          <s v="23. Nov"/>
          <s v="24. Nov"/>
          <s v="25. Nov"/>
          <s v="26. Nov"/>
          <s v="27. Nov"/>
          <s v="28. Nov"/>
          <s v="29. Nov"/>
          <s v="30. Nov"/>
          <s v="01. Dez"/>
          <s v="02. Dez"/>
          <s v="03. Dez"/>
          <s v="04. Dez"/>
          <s v="05. Dez"/>
          <s v="06. Dez"/>
          <s v="07. Dez"/>
          <s v="08. Dez"/>
          <s v="09. Dez"/>
          <s v="10. Dez"/>
          <s v="11. Dez"/>
          <s v="12. Dez"/>
          <s v="13. Dez"/>
          <s v="14. Dez"/>
          <s v="15. Dez"/>
          <s v="16. Dez"/>
          <s v="17. Dez"/>
          <s v="18. Dez"/>
          <s v="19. Dez"/>
          <s v="20. Dez"/>
          <s v="21. Dez"/>
          <s v="22. Dez"/>
          <s v="23. Dez"/>
          <s v="24. Dez"/>
          <s v="25. Dez"/>
          <s v="26. Dez"/>
          <s v="27. Dez"/>
          <s v="28. Dez"/>
          <s v="29. Dez"/>
          <s v="30. Dez"/>
          <s v="31. Dez"/>
          <s v="&gt;01.01.20"/>
        </groupItems>
      </fieldGroup>
    </cacheField>
    <cacheField name="Produkt" numFmtId="0">
      <sharedItems containsBlank="1" count="7">
        <s v="A"/>
        <s v="B"/>
        <s v="C"/>
        <s v="D"/>
        <s v="E"/>
        <s v="F"/>
        <m/>
      </sharedItems>
    </cacheField>
    <cacheField name="Land" numFmtId="0">
      <sharedItems containsBlank="1" count="11">
        <s v="Deutschland"/>
        <s v="Luxemburg"/>
        <s v="Italia"/>
        <s v="Frankreich"/>
        <s v="Österreich"/>
        <s v="Schweiz"/>
        <s v="Kroatien"/>
        <s v="Polen"/>
        <s v="Belgien"/>
        <s v="Niederlande"/>
        <m/>
      </sharedItems>
    </cacheField>
    <cacheField name="Umsatz IST" numFmtId="0">
      <sharedItems containsString="0" containsBlank="1" containsNumber="1" containsInteger="1" minValue="1037" maxValue="9997" count="210">
        <n v="2853"/>
        <n v="5749"/>
        <n v="1228"/>
        <n v="2828"/>
        <n v="7574"/>
        <n v="4090"/>
        <n v="3898"/>
        <n v="7270"/>
        <n v="1367"/>
        <n v="6510"/>
        <n v="3287"/>
        <n v="1487"/>
        <n v="8380"/>
        <n v="7243"/>
        <n v="7458"/>
        <n v="8405"/>
        <n v="4645"/>
        <n v="5111"/>
        <n v="4466"/>
        <n v="6718"/>
        <n v="6653"/>
        <n v="6956"/>
        <n v="6163"/>
        <n v="4221"/>
        <n v="5650"/>
        <n v="7934"/>
        <n v="2913"/>
        <n v="5123"/>
        <n v="1560"/>
        <n v="1665"/>
        <n v="2414"/>
        <n v="9405"/>
        <n v="9487"/>
        <n v="4611"/>
        <n v="3298"/>
        <n v="1618"/>
        <n v="9144"/>
        <n v="7343"/>
        <n v="8729"/>
        <n v="7687"/>
        <n v="5271"/>
        <n v="9674"/>
        <n v="9200"/>
        <n v="4814"/>
        <n v="3715"/>
        <n v="9351"/>
        <n v="3054"/>
        <n v="7590"/>
        <n v="5788"/>
        <n v="3911"/>
        <n v="4824"/>
        <n v="5642"/>
        <n v="3253"/>
        <n v="8725"/>
        <n v="1086"/>
        <n v="3789"/>
        <n v="8038"/>
        <n v="5666"/>
        <n v="2189"/>
        <n v="7349"/>
        <n v="2199"/>
        <n v="9391"/>
        <n v="4941"/>
        <n v="1473"/>
        <n v="9213"/>
        <n v="8440"/>
        <n v="1037"/>
        <n v="5757"/>
        <n v="3591"/>
        <n v="1331"/>
        <n v="5767"/>
        <n v="2925"/>
        <n v="5961"/>
        <n v="8341"/>
        <n v="7059"/>
        <n v="2142"/>
        <n v="5729"/>
        <n v="4804"/>
        <n v="2891"/>
        <n v="5040"/>
        <n v="7963"/>
        <n v="5456"/>
        <n v="9187"/>
        <n v="8519"/>
        <n v="4691"/>
        <n v="5273"/>
        <n v="6448"/>
        <n v="2174"/>
        <n v="5387"/>
        <n v="4680"/>
        <n v="8844"/>
        <n v="7508"/>
        <n v="3941"/>
        <n v="2692"/>
        <n v="9783"/>
        <n v="9686"/>
        <n v="9657"/>
        <n v="3245"/>
        <n v="1506"/>
        <n v="5956"/>
        <n v="1180"/>
        <n v="7333"/>
        <n v="5218"/>
        <n v="9717"/>
        <n v="7318"/>
        <n v="6698"/>
        <n v="1680"/>
        <n v="3026"/>
        <n v="9700"/>
        <n v="2236"/>
        <n v="8107"/>
        <n v="2721"/>
        <n v="1831"/>
        <n v="9659"/>
        <n v="8711"/>
        <n v="8954"/>
        <n v="6557"/>
        <n v="7240"/>
        <n v="5766"/>
        <n v="6233"/>
        <n v="3498"/>
        <n v="9453"/>
        <n v="9304"/>
        <n v="4627"/>
        <n v="7736"/>
        <n v="2038"/>
        <n v="2139"/>
        <n v="1067"/>
        <n v="3800"/>
        <n v="6289"/>
        <n v="9194"/>
        <n v="3807"/>
        <n v="5785"/>
        <n v="7836"/>
        <n v="2344"/>
        <n v="4241"/>
        <n v="3744"/>
        <n v="1885"/>
        <n v="1278"/>
        <n v="9976"/>
        <n v="2297"/>
        <n v="7545"/>
        <n v="6500"/>
        <n v="8589"/>
        <n v="5338"/>
        <n v="1089"/>
        <n v="5932"/>
        <n v="6668"/>
        <n v="8801"/>
        <n v="3380"/>
        <n v="8821"/>
        <n v="1479"/>
        <n v="9936"/>
        <n v="4400"/>
        <n v="5945"/>
        <n v="5775"/>
        <n v="7750"/>
        <n v="5339"/>
        <n v="9997"/>
        <n v="4112"/>
        <n v="6804"/>
        <n v="7706"/>
        <n v="1288"/>
        <n v="7095"/>
        <n v="3020"/>
        <n v="2161"/>
        <n v="5743"/>
        <n v="2848"/>
        <n v="9450"/>
        <n v="7581"/>
        <n v="4924"/>
        <n v="4566"/>
        <n v="7657"/>
        <n v="9540"/>
        <n v="1241"/>
        <n v="9477"/>
        <n v="5518"/>
        <n v="4900"/>
        <n v="1244"/>
        <n v="1447"/>
        <n v="6237"/>
        <n v="1232"/>
        <n v="9401"/>
        <n v="7111"/>
        <n v="3607"/>
        <n v="5258"/>
        <n v="7965"/>
        <n v="8136"/>
        <n v="7324"/>
        <n v="2565"/>
        <n v="9642"/>
        <n v="6468"/>
        <n v="9048"/>
        <n v="9226"/>
        <n v="3286"/>
        <n v="4346"/>
        <n v="3602"/>
        <n v="4754"/>
        <n v="9446"/>
        <n v="3679"/>
        <n v="1393"/>
        <n v="9857"/>
        <n v="2781"/>
        <n v="2493"/>
        <n v="2290"/>
        <n v="9396"/>
        <n v="5400"/>
        <n v="7558"/>
        <n v="8668"/>
        <m/>
      </sharedItems>
    </cacheField>
    <cacheField name="Umsatz Plan" numFmtId="0">
      <sharedItems containsString="0" containsBlank="1" containsNumber="1" containsInteger="1" minValue="1019" maxValue="9956" count="349">
        <n v="7685"/>
        <n v="5254"/>
        <n v="8024"/>
        <n v="1514"/>
        <n v="7098"/>
        <n v="5219"/>
        <n v="3055"/>
        <n v="2253"/>
        <n v="6540"/>
        <n v="8082"/>
        <n v="5061"/>
        <n v="7989"/>
        <n v="9383"/>
        <n v="5566"/>
        <n v="5704"/>
        <n v="5976"/>
        <n v="3832"/>
        <n v="7479"/>
        <n v="1169"/>
        <n v="8652"/>
        <n v="4940"/>
        <n v="2238"/>
        <n v="9682"/>
        <n v="4331"/>
        <n v="6172"/>
        <n v="1518"/>
        <n v="1868"/>
        <n v="1083"/>
        <n v="6151"/>
        <n v="9405"/>
        <n v="8925"/>
        <n v="3264"/>
        <n v="3951"/>
        <n v="6132"/>
        <n v="2763"/>
        <n v="4727"/>
        <n v="7157"/>
        <n v="7652"/>
        <n v="4289"/>
        <n v="5912"/>
        <n v="9311"/>
        <n v="5790"/>
        <n v="8513"/>
        <n v="6398"/>
        <n v="5416"/>
        <n v="4230"/>
        <n v="2150"/>
        <n v="4904"/>
        <n v="6365"/>
        <n v="5233"/>
        <n v="7636"/>
        <n v="3314"/>
        <n v="3611"/>
        <n v="5174"/>
        <n v="6916"/>
        <n v="3418"/>
        <n v="5157"/>
        <n v="4259"/>
        <n v="9185"/>
        <n v="7745"/>
        <n v="6401"/>
        <n v="3640"/>
        <n v="2877"/>
        <n v="5880"/>
        <n v="3705"/>
        <n v="3711"/>
        <n v="6125"/>
        <n v="7867"/>
        <n v="6774"/>
        <n v="5856"/>
        <n v="4477"/>
        <n v="2555"/>
        <n v="3201"/>
        <n v="3420"/>
        <n v="9178"/>
        <n v="4033"/>
        <n v="1756"/>
        <n v="4372"/>
        <n v="9289"/>
        <n v="6193"/>
        <n v="6073"/>
        <n v="4147"/>
        <n v="6047"/>
        <n v="3451"/>
        <n v="9532"/>
        <n v="7603"/>
        <n v="7945"/>
        <n v="7836"/>
        <n v="2698"/>
        <n v="2285"/>
        <n v="9251"/>
        <n v="6943"/>
        <n v="8183"/>
        <n v="5101"/>
        <n v="5946"/>
        <n v="2135"/>
        <n v="9106"/>
        <n v="8462"/>
        <n v="3869"/>
        <n v="2418"/>
        <n v="1094"/>
        <n v="4645"/>
        <n v="8938"/>
        <n v="5262"/>
        <n v="5741"/>
        <n v="9566"/>
        <n v="8901"/>
        <n v="7085"/>
        <n v="9778"/>
        <n v="8463"/>
        <n v="6980"/>
        <n v="9627"/>
        <n v="8172"/>
        <n v="5776"/>
        <n v="2348"/>
        <n v="4020"/>
        <n v="6953"/>
        <n v="4998"/>
        <n v="9058"/>
        <n v="6378"/>
        <n v="1213"/>
        <n v="5797"/>
        <n v="8016"/>
        <n v="6384"/>
        <n v="9338"/>
        <n v="3702"/>
        <n v="6161"/>
        <n v="1844"/>
        <n v="9762"/>
        <n v="8049"/>
        <n v="6327"/>
        <n v="4865"/>
        <n v="3980"/>
        <n v="5567"/>
        <n v="9064"/>
        <n v="2467"/>
        <n v="1088"/>
        <n v="1691"/>
        <n v="2016"/>
        <n v="6924"/>
        <n v="2928"/>
        <n v="6913"/>
        <n v="9043"/>
        <n v="6845"/>
        <n v="3675"/>
        <n v="9867"/>
        <n v="6902"/>
        <n v="6011"/>
        <n v="4996"/>
        <n v="8717"/>
        <n v="6871"/>
        <n v="1411"/>
        <n v="9445"/>
        <n v="6181"/>
        <n v="6926"/>
        <n v="7530"/>
        <n v="4505"/>
        <n v="2005"/>
        <n v="4634"/>
        <n v="9822"/>
        <n v="1625"/>
        <n v="5807"/>
        <n v="4990"/>
        <n v="4570"/>
        <n v="1808"/>
        <n v="4396"/>
        <n v="1841"/>
        <n v="7749"/>
        <n v="6853"/>
        <n v="2193"/>
        <n v="2521"/>
        <n v="1965"/>
        <n v="2362"/>
        <n v="2829"/>
        <n v="8111"/>
        <n v="3712"/>
        <n v="6171"/>
        <n v="5401"/>
        <n v="6610"/>
        <n v="6841"/>
        <n v="4050"/>
        <n v="3860"/>
        <n v="8531"/>
        <n v="5663"/>
        <n v="7456"/>
        <n v="3509"/>
        <n v="1024"/>
        <n v="5866"/>
        <n v="9248"/>
        <n v="6921"/>
        <n v="4417"/>
        <n v="7810"/>
        <n v="3030"/>
        <n v="8521"/>
        <n v="1050"/>
        <n v="7527"/>
        <n v="4636"/>
        <n v="5328"/>
        <n v="3023"/>
        <n v="8875"/>
        <n v="8485"/>
        <n v="4271"/>
        <n v="7690"/>
        <n v="3086"/>
        <n v="2711"/>
        <n v="7202"/>
        <n v="1836"/>
        <n v="5400"/>
        <n v="8173"/>
        <n v="7112"/>
        <n v="3806"/>
        <n v="4545"/>
        <n v="3962"/>
        <n v="9638"/>
        <n v="6675"/>
        <n v="6484"/>
        <n v="8362"/>
        <n v="6625"/>
        <n v="1450"/>
        <n v="8647"/>
        <n v="9880"/>
        <n v="3642"/>
        <n v="8817"/>
        <n v="8658"/>
        <n v="1392"/>
        <n v="3716"/>
        <n v="1034"/>
        <n v="1230"/>
        <n v="2086"/>
        <n v="7278"/>
        <n v="3518"/>
        <n v="3601"/>
        <n v="5415"/>
        <n v="3412"/>
        <n v="7337"/>
        <n v="1651"/>
        <n v="6447"/>
        <n v="8315"/>
        <n v="9866"/>
        <n v="5929"/>
        <n v="2233"/>
        <n v="2427"/>
        <n v="2397"/>
        <n v="4508"/>
        <n v="9902"/>
        <n v="6326"/>
        <n v="8696"/>
        <n v="7936"/>
        <n v="2960"/>
        <n v="2113"/>
        <n v="8166"/>
        <n v="8276"/>
        <n v="8192"/>
        <n v="5374"/>
        <n v="7467"/>
        <n v="4491"/>
        <n v="7980"/>
        <n v="8285"/>
        <n v="7207"/>
        <n v="4895"/>
        <n v="1019"/>
        <n v="2347"/>
        <n v="2162"/>
        <n v="6152"/>
        <n v="7937"/>
        <n v="6254"/>
        <n v="2287"/>
        <n v="3857"/>
        <n v="7510"/>
        <n v="8484"/>
        <n v="9038"/>
        <n v="8027"/>
        <n v="4482"/>
        <n v="1471"/>
        <n v="5095"/>
        <n v="1762"/>
        <n v="2995"/>
        <n v="2982"/>
        <n v="6735"/>
        <n v="4336"/>
        <n v="1904"/>
        <n v="6141"/>
        <n v="9414"/>
        <n v="9432"/>
        <n v="6647"/>
        <n v="3136"/>
        <n v="8795"/>
        <n v="8893"/>
        <n v="6739"/>
        <n v="2511"/>
        <n v="7529"/>
        <n v="1180"/>
        <n v="8887"/>
        <n v="9215"/>
        <n v="1115"/>
        <n v="9177"/>
        <n v="6309"/>
        <n v="7924"/>
        <n v="6227"/>
        <n v="4511"/>
        <n v="5271"/>
        <n v="4166"/>
        <n v="4867"/>
        <n v="1799"/>
        <n v="8339"/>
        <n v="4741"/>
        <n v="6139"/>
        <n v="3573"/>
        <n v="6296"/>
        <n v="7146"/>
        <n v="9956"/>
        <n v="9606"/>
        <n v="6180"/>
        <n v="4737"/>
        <n v="1941"/>
        <n v="1771"/>
        <n v="7238"/>
        <n v="5026"/>
        <n v="1626"/>
        <n v="2106"/>
        <n v="7223"/>
        <n v="8592"/>
        <n v="4354"/>
        <n v="4661"/>
        <n v="6009"/>
        <n v="2903"/>
        <n v="4973"/>
        <n v="9115"/>
        <n v="5610"/>
        <n v="9446"/>
        <n v="3948"/>
        <n v="6990"/>
        <n v="9457"/>
        <n v="4019"/>
        <n v="6620"/>
        <n v="6830"/>
        <n v="8772"/>
        <n v="1608"/>
        <n v="6494"/>
        <n v="7967"/>
        <n v="6366"/>
        <n v="1250"/>
        <n v="8774"/>
        <n v="7855"/>
        <n v="2606"/>
        <n v="2415"/>
        <n v="4177"/>
        <n v="4442"/>
        <m/>
      </sharedItems>
    </cacheField>
    <cacheField name="Kunde" numFmtId="0">
      <sharedItems containsBlank="1" count="7">
        <s v="Meyer Ag"/>
        <s v="Wellna Pumpen GmbH"/>
        <s v="Cwaka Brennerei GmBH"/>
        <s v="Peischl Marketing"/>
        <s v="Werthwein Design"/>
        <s v="Mesmer Weinbau AG"/>
        <m/>
      </sharedItems>
    </cacheField>
    <cacheField name="Liefertermintreue" numFmtId="0">
      <sharedItems containsBlank="1" count="3">
        <s v="in verzug"/>
        <s v="pünktlich"/>
        <m/>
      </sharedItems>
    </cacheField>
    <cacheField name="Retoure" numFmtId="0">
      <sharedItems containsBlank="1" count="3">
        <s v="nein"/>
        <s v="ja"/>
        <m/>
      </sharedItems>
    </cacheField>
    <cacheField name="Kundenzufriedenheit" numFmtId="0">
      <sharedItems containsBlank="1"/>
    </cacheField>
    <cacheField name="Standort" numFmtId="0">
      <sharedItems containsBlank="1" count="5">
        <m/>
        <s v="Frankfurt"/>
        <s v="Mannheim"/>
        <s v="Stuttgart"/>
        <s v="München"/>
      </sharedItems>
    </cacheField>
    <cacheField name="Mitarbeiter (M)" numFmtId="0">
      <sharedItems containsString="0" containsBlank="1" containsNumber="1" containsInteger="1" minValue="2" maxValue="20" count="13">
        <m/>
        <n v="8"/>
        <n v="9"/>
        <n v="10"/>
        <n v="7"/>
        <n v="6"/>
        <n v="12"/>
        <n v="13"/>
        <n v="14"/>
        <n v="15"/>
        <n v="20"/>
        <n v="4"/>
        <n v="2"/>
      </sharedItems>
    </cacheField>
    <cacheField name="Mitarbeiter (F)" numFmtId="0">
      <sharedItems containsString="0" containsBlank="1" containsNumber="1" containsInteger="1" minValue="4" maxValue="19" count="12">
        <m/>
        <n v="4"/>
        <n v="5"/>
        <n v="6"/>
        <n v="8"/>
        <n v="12"/>
        <n v="13"/>
        <n v="14"/>
        <n v="16"/>
        <n v="18"/>
        <n v="19"/>
        <n v="10"/>
      </sharedItems>
    </cacheField>
    <cacheField name="Monate" numFmtId="0" databaseField="0">
      <fieldGroup base="1">
        <rangePr groupBy="months" startDate="2019-01-01T00:00:00" endDate="2020-01-01T00:00:00"/>
        <groupItems count="14">
          <s v="&lt;01.01.19"/>
          <s v="Jan"/>
          <s v="Feb"/>
          <s v="Mär"/>
          <s v="Apr"/>
          <s v="Mai"/>
          <s v="Jun"/>
          <s v="Jul"/>
          <s v="Aug"/>
          <s v="Sep"/>
          <s v="Okt"/>
          <s v="Nov"/>
          <s v="Dez"/>
          <s v="&gt;01.01.20"/>
        </groupItems>
      </fieldGroup>
    </cacheField>
  </cacheFields>
  <extLst>
    <ext xmlns:x14="http://schemas.microsoft.com/office/spreadsheetml/2009/9/main" uri="{725AE2AE-9491-48be-B2B4-4EB974FC3084}">
      <x14:pivotCacheDefinition pivotCacheId="5284802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t Kessler" refreshedDate="44300.911120949073" createdVersion="6" refreshedVersion="6" minRefreshableVersion="3" recordCount="405" xr:uid="{7200EF85-4215-7C43-A578-1D71FEEC32A7}">
  <cacheSource type="worksheet">
    <worksheetSource ref="A1:N406" sheet="Daten"/>
  </cacheSource>
  <cacheFields count="15">
    <cacheField name="Kategorie" numFmtId="0">
      <sharedItems/>
    </cacheField>
    <cacheField name="Datum" numFmtId="0">
      <sharedItems containsNonDate="0" containsDate="1" containsString="0" containsBlank="1" minDate="2019-01-01T00:00:00" maxDate="2020-01-01T00:00:00" count="366">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m/>
      </sharedItems>
      <fieldGroup par="14" base="1">
        <rangePr groupBy="days" startDate="2019-01-01T00:00:00" endDate="2020-01-01T00:00:00"/>
        <groupItems count="368">
          <s v="(Leer)"/>
          <s v="01. Jan"/>
          <s v="02. Jan"/>
          <s v="03. Jan"/>
          <s v="04. Jan"/>
          <s v="05. Jan"/>
          <s v="06. Jan"/>
          <s v="07. Jan"/>
          <s v="08. Jan"/>
          <s v="09. Jan"/>
          <s v="10. Jan"/>
          <s v="11. Jan"/>
          <s v="12. Jan"/>
          <s v="13. Jan"/>
          <s v="14. Jan"/>
          <s v="15. Jan"/>
          <s v="16. Jan"/>
          <s v="17. Jan"/>
          <s v="18. Jan"/>
          <s v="19. Jan"/>
          <s v="20. Jan"/>
          <s v="21. Jan"/>
          <s v="22. Jan"/>
          <s v="23. Jan"/>
          <s v="24. Jan"/>
          <s v="25. Jan"/>
          <s v="26. Jan"/>
          <s v="27. Jan"/>
          <s v="28. Jan"/>
          <s v="29. Jan"/>
          <s v="30. Jan"/>
          <s v="31. Jan"/>
          <s v="01. Feb"/>
          <s v="02. Feb"/>
          <s v="03. Feb"/>
          <s v="04. Feb"/>
          <s v="05. Feb"/>
          <s v="06. Feb"/>
          <s v="07. Feb"/>
          <s v="08. Feb"/>
          <s v="09. Feb"/>
          <s v="10. Feb"/>
          <s v="11. Feb"/>
          <s v="12. Feb"/>
          <s v="13. Feb"/>
          <s v="14. Feb"/>
          <s v="15. Feb"/>
          <s v="16. Feb"/>
          <s v="17. Feb"/>
          <s v="18. Feb"/>
          <s v="19. Feb"/>
          <s v="20. Feb"/>
          <s v="21. Feb"/>
          <s v="22. Feb"/>
          <s v="23. Feb"/>
          <s v="24. Feb"/>
          <s v="25. Feb"/>
          <s v="26. Feb"/>
          <s v="27. Feb"/>
          <s v="28. Feb"/>
          <s v="29. Feb"/>
          <s v="01. Mär"/>
          <s v="02. Mär"/>
          <s v="03. Mär"/>
          <s v="04. Mär"/>
          <s v="05. Mär"/>
          <s v="06. Mär"/>
          <s v="07. Mär"/>
          <s v="08. Mär"/>
          <s v="09. Mär"/>
          <s v="10. Mär"/>
          <s v="11. Mär"/>
          <s v="12. Mär"/>
          <s v="13. Mär"/>
          <s v="14. Mär"/>
          <s v="15. Mär"/>
          <s v="16. Mär"/>
          <s v="17. Mär"/>
          <s v="18. Mär"/>
          <s v="19. Mär"/>
          <s v="20. Mär"/>
          <s v="21. Mär"/>
          <s v="22. Mär"/>
          <s v="23. Mär"/>
          <s v="24. Mär"/>
          <s v="25. Mär"/>
          <s v="26. Mär"/>
          <s v="27. Mär"/>
          <s v="28. Mär"/>
          <s v="29. Mär"/>
          <s v="30. Mär"/>
          <s v="31. Mär"/>
          <s v="01. Apr"/>
          <s v="02. Apr"/>
          <s v="03. Apr"/>
          <s v="04. Apr"/>
          <s v="05. Apr"/>
          <s v="06. Apr"/>
          <s v="07. Apr"/>
          <s v="08. Apr"/>
          <s v="09. Apr"/>
          <s v="10. Apr"/>
          <s v="11. Apr"/>
          <s v="12. Apr"/>
          <s v="13. Apr"/>
          <s v="14. Apr"/>
          <s v="15. Apr"/>
          <s v="16. Apr"/>
          <s v="17. Apr"/>
          <s v="18. Apr"/>
          <s v="19. Apr"/>
          <s v="20. Apr"/>
          <s v="21. Apr"/>
          <s v="22. Apr"/>
          <s v="23. Apr"/>
          <s v="24. Apr"/>
          <s v="25. Apr"/>
          <s v="26. Apr"/>
          <s v="27. Apr"/>
          <s v="28. Apr"/>
          <s v="29. Apr"/>
          <s v="30. Apr"/>
          <s v="01. Mai"/>
          <s v="02. Mai"/>
          <s v="03. Mai"/>
          <s v="04. Mai"/>
          <s v="05. Mai"/>
          <s v="06. Mai"/>
          <s v="07. Mai"/>
          <s v="08. Mai"/>
          <s v="09. Mai"/>
          <s v="10. Mai"/>
          <s v="11. Mai"/>
          <s v="12. Mai"/>
          <s v="13. Mai"/>
          <s v="14. Mai"/>
          <s v="15. Mai"/>
          <s v="16. Mai"/>
          <s v="17. Mai"/>
          <s v="18. Mai"/>
          <s v="19. Mai"/>
          <s v="20. Mai"/>
          <s v="21. Mai"/>
          <s v="22. Mai"/>
          <s v="23. Mai"/>
          <s v="24. Mai"/>
          <s v="25. Mai"/>
          <s v="26. Mai"/>
          <s v="27. Mai"/>
          <s v="28. Mai"/>
          <s v="29. Mai"/>
          <s v="30. Mai"/>
          <s v="31. Mai"/>
          <s v="01. Jun"/>
          <s v="02. Jun"/>
          <s v="03. Jun"/>
          <s v="04. Jun"/>
          <s v="05. Jun"/>
          <s v="06. Jun"/>
          <s v="07. Jun"/>
          <s v="08. Jun"/>
          <s v="09. Jun"/>
          <s v="10. Jun"/>
          <s v="11. Jun"/>
          <s v="12. Jun"/>
          <s v="13. Jun"/>
          <s v="14. Jun"/>
          <s v="15. Jun"/>
          <s v="16. Jun"/>
          <s v="17. Jun"/>
          <s v="18. Jun"/>
          <s v="19. Jun"/>
          <s v="20. Jun"/>
          <s v="21. Jun"/>
          <s v="22. Jun"/>
          <s v="23. Jun"/>
          <s v="24. Jun"/>
          <s v="25. Jun"/>
          <s v="26. Jun"/>
          <s v="27. Jun"/>
          <s v="28. Jun"/>
          <s v="29. Jun"/>
          <s v="30. Jun"/>
          <s v="01. Jul"/>
          <s v="02. Jul"/>
          <s v="03. Jul"/>
          <s v="04. Jul"/>
          <s v="05. Jul"/>
          <s v="06. Jul"/>
          <s v="07. Jul"/>
          <s v="08. Jul"/>
          <s v="09. Jul"/>
          <s v="10. Jul"/>
          <s v="11. Jul"/>
          <s v="12. Jul"/>
          <s v="13. Jul"/>
          <s v="14. Jul"/>
          <s v="15. Jul"/>
          <s v="16. Jul"/>
          <s v="17. Jul"/>
          <s v="18. Jul"/>
          <s v="19. Jul"/>
          <s v="20. Jul"/>
          <s v="21. Jul"/>
          <s v="22. Jul"/>
          <s v="23. Jul"/>
          <s v="24. Jul"/>
          <s v="25. Jul"/>
          <s v="26. Jul"/>
          <s v="27. Jul"/>
          <s v="28. Jul"/>
          <s v="29. Jul"/>
          <s v="30. Jul"/>
          <s v="31. Jul"/>
          <s v="01. Aug"/>
          <s v="02. Aug"/>
          <s v="03. Aug"/>
          <s v="04. Aug"/>
          <s v="05. Aug"/>
          <s v="06. Aug"/>
          <s v="07. Aug"/>
          <s v="08. Aug"/>
          <s v="09. Aug"/>
          <s v="10. Aug"/>
          <s v="11. Aug"/>
          <s v="12. Aug"/>
          <s v="13. Aug"/>
          <s v="14. Aug"/>
          <s v="15. Aug"/>
          <s v="16. Aug"/>
          <s v="17. Aug"/>
          <s v="18. Aug"/>
          <s v="19. Aug"/>
          <s v="20. Aug"/>
          <s v="21. Aug"/>
          <s v="22. Aug"/>
          <s v="23. Aug"/>
          <s v="24. Aug"/>
          <s v="25. Aug"/>
          <s v="26. Aug"/>
          <s v="27. Aug"/>
          <s v="28. Aug"/>
          <s v="29. Aug"/>
          <s v="30. Aug"/>
          <s v="31. Aug"/>
          <s v="01. Sep"/>
          <s v="02. Sep"/>
          <s v="03. Sep"/>
          <s v="04. Sep"/>
          <s v="05. Sep"/>
          <s v="06. Sep"/>
          <s v="07. Sep"/>
          <s v="08. Sep"/>
          <s v="09. Sep"/>
          <s v="10. Sep"/>
          <s v="11. Sep"/>
          <s v="12. Sep"/>
          <s v="13. Sep"/>
          <s v="14. Sep"/>
          <s v="15. Sep"/>
          <s v="16. Sep"/>
          <s v="17. Sep"/>
          <s v="18. Sep"/>
          <s v="19. Sep"/>
          <s v="20. Sep"/>
          <s v="21. Sep"/>
          <s v="22. Sep"/>
          <s v="23. Sep"/>
          <s v="24. Sep"/>
          <s v="25. Sep"/>
          <s v="26. Sep"/>
          <s v="27. Sep"/>
          <s v="28. Sep"/>
          <s v="29. Sep"/>
          <s v="30. Sep"/>
          <s v="01. Okt"/>
          <s v="02. Okt"/>
          <s v="03. Okt"/>
          <s v="04. Okt"/>
          <s v="05. Okt"/>
          <s v="06. Okt"/>
          <s v="07. Okt"/>
          <s v="08. Okt"/>
          <s v="09. Okt"/>
          <s v="10. Okt"/>
          <s v="11. Okt"/>
          <s v="12. Okt"/>
          <s v="13. Okt"/>
          <s v="14. Okt"/>
          <s v="15. Okt"/>
          <s v="16. Okt"/>
          <s v="17. Okt"/>
          <s v="18. Okt"/>
          <s v="19. Okt"/>
          <s v="20. Okt"/>
          <s v="21. Okt"/>
          <s v="22. Okt"/>
          <s v="23. Okt"/>
          <s v="24. Okt"/>
          <s v="25. Okt"/>
          <s v="26. Okt"/>
          <s v="27. Okt"/>
          <s v="28. Okt"/>
          <s v="29. Okt"/>
          <s v="30. Okt"/>
          <s v="31. Okt"/>
          <s v="01. Nov"/>
          <s v="02. Nov"/>
          <s v="03. Nov"/>
          <s v="04. Nov"/>
          <s v="05. Nov"/>
          <s v="06. Nov"/>
          <s v="07. Nov"/>
          <s v="08. Nov"/>
          <s v="09. Nov"/>
          <s v="10. Nov"/>
          <s v="11. Nov"/>
          <s v="12. Nov"/>
          <s v="13. Nov"/>
          <s v="14. Nov"/>
          <s v="15. Nov"/>
          <s v="16. Nov"/>
          <s v="17. Nov"/>
          <s v="18. Nov"/>
          <s v="19. Nov"/>
          <s v="20. Nov"/>
          <s v="21. Nov"/>
          <s v="22. Nov"/>
          <s v="23. Nov"/>
          <s v="24. Nov"/>
          <s v="25. Nov"/>
          <s v="26. Nov"/>
          <s v="27. Nov"/>
          <s v="28. Nov"/>
          <s v="29. Nov"/>
          <s v="30. Nov"/>
          <s v="01. Dez"/>
          <s v="02. Dez"/>
          <s v="03. Dez"/>
          <s v="04. Dez"/>
          <s v="05. Dez"/>
          <s v="06. Dez"/>
          <s v="07. Dez"/>
          <s v="08. Dez"/>
          <s v="09. Dez"/>
          <s v="10. Dez"/>
          <s v="11. Dez"/>
          <s v="12. Dez"/>
          <s v="13. Dez"/>
          <s v="14. Dez"/>
          <s v="15. Dez"/>
          <s v="16. Dez"/>
          <s v="17. Dez"/>
          <s v="18. Dez"/>
          <s v="19. Dez"/>
          <s v="20. Dez"/>
          <s v="21. Dez"/>
          <s v="22. Dez"/>
          <s v="23. Dez"/>
          <s v="24. Dez"/>
          <s v="25. Dez"/>
          <s v="26. Dez"/>
          <s v="27. Dez"/>
          <s v="28. Dez"/>
          <s v="29. Dez"/>
          <s v="30. Dez"/>
          <s v="31. Dez"/>
          <s v="&gt;01.01.20"/>
        </groupItems>
      </fieldGroup>
    </cacheField>
    <cacheField name="Produkt" numFmtId="0">
      <sharedItems containsBlank="1" count="7">
        <s v="A"/>
        <s v="B"/>
        <s v="C"/>
        <s v="D"/>
        <s v="E"/>
        <s v="F"/>
        <m/>
      </sharedItems>
    </cacheField>
    <cacheField name="Land" numFmtId="0">
      <sharedItems containsBlank="1"/>
    </cacheField>
    <cacheField name="Umsatz IST" numFmtId="0">
      <sharedItems containsString="0" containsBlank="1" containsNumber="1" containsInteger="1" minValue="1037" maxValue="9997" count="210">
        <n v="2853"/>
        <n v="5749"/>
        <n v="1228"/>
        <n v="2828"/>
        <n v="7574"/>
        <n v="4090"/>
        <n v="3898"/>
        <n v="7270"/>
        <n v="1367"/>
        <n v="6510"/>
        <n v="3287"/>
        <n v="1487"/>
        <n v="8380"/>
        <n v="7243"/>
        <n v="7458"/>
        <n v="8405"/>
        <n v="4645"/>
        <n v="5111"/>
        <n v="4466"/>
        <n v="6718"/>
        <n v="6653"/>
        <n v="6956"/>
        <n v="6163"/>
        <n v="4221"/>
        <n v="5650"/>
        <n v="7934"/>
        <n v="2913"/>
        <n v="5123"/>
        <n v="1560"/>
        <n v="1665"/>
        <n v="2414"/>
        <n v="9405"/>
        <n v="9487"/>
        <n v="4611"/>
        <n v="3298"/>
        <n v="1618"/>
        <n v="9144"/>
        <n v="7343"/>
        <n v="8729"/>
        <n v="7687"/>
        <n v="5271"/>
        <n v="9674"/>
        <n v="9200"/>
        <n v="4814"/>
        <n v="3715"/>
        <n v="9351"/>
        <n v="3054"/>
        <n v="7590"/>
        <n v="5788"/>
        <n v="3911"/>
        <n v="4824"/>
        <n v="5642"/>
        <n v="3253"/>
        <n v="8725"/>
        <n v="1086"/>
        <n v="3789"/>
        <n v="8038"/>
        <n v="5666"/>
        <n v="2189"/>
        <n v="7349"/>
        <n v="2199"/>
        <n v="9391"/>
        <n v="4941"/>
        <n v="1473"/>
        <n v="9213"/>
        <n v="8440"/>
        <n v="1037"/>
        <n v="5757"/>
        <n v="3591"/>
        <n v="1331"/>
        <n v="5767"/>
        <n v="2925"/>
        <n v="5961"/>
        <n v="8341"/>
        <n v="7059"/>
        <n v="2142"/>
        <n v="5729"/>
        <n v="4804"/>
        <n v="2891"/>
        <n v="5040"/>
        <n v="7963"/>
        <n v="5456"/>
        <n v="9187"/>
        <n v="8519"/>
        <n v="4691"/>
        <n v="5273"/>
        <n v="6448"/>
        <n v="2174"/>
        <n v="5387"/>
        <n v="4680"/>
        <n v="8844"/>
        <n v="7508"/>
        <n v="3941"/>
        <n v="2692"/>
        <n v="9783"/>
        <n v="9686"/>
        <n v="9657"/>
        <n v="3245"/>
        <n v="1506"/>
        <n v="5956"/>
        <n v="1180"/>
        <n v="7333"/>
        <n v="5218"/>
        <n v="9717"/>
        <n v="7318"/>
        <n v="6698"/>
        <n v="1680"/>
        <n v="3026"/>
        <n v="9700"/>
        <n v="2236"/>
        <n v="8107"/>
        <n v="2721"/>
        <n v="1831"/>
        <n v="9659"/>
        <n v="8711"/>
        <n v="8954"/>
        <n v="6557"/>
        <n v="7240"/>
        <n v="5766"/>
        <n v="6233"/>
        <n v="3498"/>
        <n v="9453"/>
        <n v="9304"/>
        <n v="4627"/>
        <n v="7736"/>
        <n v="2038"/>
        <n v="2139"/>
        <n v="1067"/>
        <n v="3800"/>
        <n v="6289"/>
        <n v="9194"/>
        <n v="3807"/>
        <n v="5785"/>
        <n v="7836"/>
        <n v="2344"/>
        <n v="4241"/>
        <n v="3744"/>
        <n v="1885"/>
        <n v="1278"/>
        <n v="9976"/>
        <n v="2297"/>
        <n v="7545"/>
        <n v="6500"/>
        <n v="8589"/>
        <n v="5338"/>
        <n v="1089"/>
        <n v="5932"/>
        <n v="6668"/>
        <n v="8801"/>
        <n v="3380"/>
        <n v="8821"/>
        <n v="1479"/>
        <n v="9936"/>
        <n v="4400"/>
        <n v="5945"/>
        <n v="5775"/>
        <n v="7750"/>
        <n v="5339"/>
        <n v="9997"/>
        <n v="4112"/>
        <n v="6804"/>
        <n v="7706"/>
        <n v="1288"/>
        <n v="7095"/>
        <n v="3020"/>
        <n v="2161"/>
        <n v="5743"/>
        <n v="2848"/>
        <n v="9450"/>
        <n v="7581"/>
        <n v="4924"/>
        <n v="4566"/>
        <n v="7657"/>
        <n v="9540"/>
        <n v="1241"/>
        <n v="9477"/>
        <n v="5518"/>
        <n v="4900"/>
        <n v="1244"/>
        <n v="1447"/>
        <n v="6237"/>
        <n v="1232"/>
        <n v="9401"/>
        <n v="7111"/>
        <n v="3607"/>
        <n v="5258"/>
        <n v="7965"/>
        <n v="8136"/>
        <n v="7324"/>
        <n v="2565"/>
        <n v="9642"/>
        <n v="6468"/>
        <n v="9048"/>
        <n v="9226"/>
        <n v="3286"/>
        <n v="4346"/>
        <n v="3602"/>
        <n v="4754"/>
        <n v="9446"/>
        <n v="3679"/>
        <n v="1393"/>
        <n v="9857"/>
        <n v="2781"/>
        <n v="2493"/>
        <n v="2290"/>
        <n v="9396"/>
        <n v="5400"/>
        <n v="7558"/>
        <n v="8668"/>
        <m/>
      </sharedItems>
    </cacheField>
    <cacheField name="Umsatz Plan" numFmtId="0">
      <sharedItems containsString="0" containsBlank="1" containsNumber="1" containsInteger="1" minValue="1019" maxValue="9956" count="349">
        <n v="7685"/>
        <n v="5254"/>
        <n v="8024"/>
        <n v="1514"/>
        <n v="7098"/>
        <n v="5219"/>
        <n v="3055"/>
        <n v="2253"/>
        <n v="6540"/>
        <n v="8082"/>
        <n v="5061"/>
        <n v="7989"/>
        <n v="9383"/>
        <n v="5566"/>
        <n v="5704"/>
        <n v="5976"/>
        <n v="3832"/>
        <n v="7479"/>
        <n v="1169"/>
        <n v="8652"/>
        <n v="4940"/>
        <n v="2238"/>
        <n v="9682"/>
        <n v="4331"/>
        <n v="6172"/>
        <n v="1518"/>
        <n v="1868"/>
        <n v="1083"/>
        <n v="6151"/>
        <n v="9405"/>
        <n v="8925"/>
        <n v="3264"/>
        <n v="3951"/>
        <n v="6132"/>
        <n v="2763"/>
        <n v="4727"/>
        <n v="7157"/>
        <n v="7652"/>
        <n v="4289"/>
        <n v="5912"/>
        <n v="9311"/>
        <n v="5790"/>
        <n v="8513"/>
        <n v="6398"/>
        <n v="5416"/>
        <n v="4230"/>
        <n v="2150"/>
        <n v="4904"/>
        <n v="6365"/>
        <n v="5233"/>
        <n v="7636"/>
        <n v="3314"/>
        <n v="3611"/>
        <n v="5174"/>
        <n v="6916"/>
        <n v="3418"/>
        <n v="5157"/>
        <n v="4259"/>
        <n v="9185"/>
        <n v="7745"/>
        <n v="6401"/>
        <n v="3640"/>
        <n v="2877"/>
        <n v="5880"/>
        <n v="3705"/>
        <n v="3711"/>
        <n v="6125"/>
        <n v="7867"/>
        <n v="6774"/>
        <n v="5856"/>
        <n v="4477"/>
        <n v="2555"/>
        <n v="3201"/>
        <n v="3420"/>
        <n v="9178"/>
        <n v="4033"/>
        <n v="1756"/>
        <n v="4372"/>
        <n v="9289"/>
        <n v="6193"/>
        <n v="6073"/>
        <n v="4147"/>
        <n v="6047"/>
        <n v="3451"/>
        <n v="9532"/>
        <n v="7603"/>
        <n v="7945"/>
        <n v="7836"/>
        <n v="2698"/>
        <n v="2285"/>
        <n v="9251"/>
        <n v="6943"/>
        <n v="8183"/>
        <n v="5101"/>
        <n v="5946"/>
        <n v="2135"/>
        <n v="9106"/>
        <n v="8462"/>
        <n v="3869"/>
        <n v="2418"/>
        <n v="1094"/>
        <n v="4645"/>
        <n v="8938"/>
        <n v="5262"/>
        <n v="5741"/>
        <n v="9566"/>
        <n v="8901"/>
        <n v="7085"/>
        <n v="9778"/>
        <n v="8463"/>
        <n v="6980"/>
        <n v="9627"/>
        <n v="8172"/>
        <n v="5776"/>
        <n v="2348"/>
        <n v="4020"/>
        <n v="6953"/>
        <n v="4998"/>
        <n v="9058"/>
        <n v="6378"/>
        <n v="1213"/>
        <n v="5797"/>
        <n v="8016"/>
        <n v="6384"/>
        <n v="9338"/>
        <n v="3702"/>
        <n v="6161"/>
        <n v="1844"/>
        <n v="9762"/>
        <n v="8049"/>
        <n v="6327"/>
        <n v="4865"/>
        <n v="3980"/>
        <n v="5567"/>
        <n v="9064"/>
        <n v="2467"/>
        <n v="1088"/>
        <n v="1691"/>
        <n v="2016"/>
        <n v="6924"/>
        <n v="2928"/>
        <n v="6913"/>
        <n v="9043"/>
        <n v="6845"/>
        <n v="3675"/>
        <n v="9867"/>
        <n v="6902"/>
        <n v="6011"/>
        <n v="4996"/>
        <n v="8717"/>
        <n v="6871"/>
        <n v="1411"/>
        <n v="9445"/>
        <n v="6181"/>
        <n v="6926"/>
        <n v="7530"/>
        <n v="4505"/>
        <n v="2005"/>
        <n v="4634"/>
        <n v="9822"/>
        <n v="1625"/>
        <n v="5807"/>
        <n v="4990"/>
        <n v="4570"/>
        <n v="1808"/>
        <n v="4396"/>
        <n v="1841"/>
        <n v="7749"/>
        <n v="6853"/>
        <n v="2193"/>
        <n v="2521"/>
        <n v="1965"/>
        <n v="2362"/>
        <n v="2829"/>
        <n v="8111"/>
        <n v="3712"/>
        <n v="6171"/>
        <n v="5401"/>
        <n v="6610"/>
        <n v="6841"/>
        <n v="4050"/>
        <n v="3860"/>
        <n v="8531"/>
        <n v="5663"/>
        <n v="7456"/>
        <n v="3509"/>
        <n v="1024"/>
        <n v="5866"/>
        <n v="9248"/>
        <n v="6921"/>
        <n v="4417"/>
        <n v="7810"/>
        <n v="3030"/>
        <n v="8521"/>
        <n v="1050"/>
        <n v="7527"/>
        <n v="4636"/>
        <n v="5328"/>
        <n v="3023"/>
        <n v="8875"/>
        <n v="8485"/>
        <n v="4271"/>
        <n v="7690"/>
        <n v="3086"/>
        <n v="2711"/>
        <n v="7202"/>
        <n v="1836"/>
        <n v="5400"/>
        <n v="8173"/>
        <n v="7112"/>
        <n v="3806"/>
        <n v="4545"/>
        <n v="3962"/>
        <n v="9638"/>
        <n v="6675"/>
        <n v="6484"/>
        <n v="8362"/>
        <n v="6625"/>
        <n v="1450"/>
        <n v="8647"/>
        <n v="9880"/>
        <n v="3642"/>
        <n v="8817"/>
        <n v="8658"/>
        <n v="1392"/>
        <n v="3716"/>
        <n v="1034"/>
        <n v="1230"/>
        <n v="2086"/>
        <n v="7278"/>
        <n v="3518"/>
        <n v="3601"/>
        <n v="5415"/>
        <n v="3412"/>
        <n v="7337"/>
        <n v="1651"/>
        <n v="6447"/>
        <n v="8315"/>
        <n v="9866"/>
        <n v="5929"/>
        <n v="2233"/>
        <n v="2427"/>
        <n v="2397"/>
        <n v="4508"/>
        <n v="9902"/>
        <n v="6326"/>
        <n v="8696"/>
        <n v="7936"/>
        <n v="2960"/>
        <n v="2113"/>
        <n v="8166"/>
        <n v="8276"/>
        <n v="8192"/>
        <n v="5374"/>
        <n v="7467"/>
        <n v="4491"/>
        <n v="7980"/>
        <n v="8285"/>
        <n v="7207"/>
        <n v="4895"/>
        <n v="1019"/>
        <n v="2347"/>
        <n v="2162"/>
        <n v="6152"/>
        <n v="7937"/>
        <n v="6254"/>
        <n v="2287"/>
        <n v="3857"/>
        <n v="7510"/>
        <n v="8484"/>
        <n v="9038"/>
        <n v="8027"/>
        <n v="4482"/>
        <n v="1471"/>
        <n v="5095"/>
        <n v="1762"/>
        <n v="2995"/>
        <n v="2982"/>
        <n v="6735"/>
        <n v="4336"/>
        <n v="1904"/>
        <n v="6141"/>
        <n v="9414"/>
        <n v="9432"/>
        <n v="6647"/>
        <n v="3136"/>
        <n v="8795"/>
        <n v="8893"/>
        <n v="6739"/>
        <n v="2511"/>
        <n v="7529"/>
        <n v="1180"/>
        <n v="8887"/>
        <n v="9215"/>
        <n v="1115"/>
        <n v="9177"/>
        <n v="6309"/>
        <n v="7924"/>
        <n v="6227"/>
        <n v="4511"/>
        <n v="5271"/>
        <n v="4166"/>
        <n v="4867"/>
        <n v="1799"/>
        <n v="8339"/>
        <n v="4741"/>
        <n v="6139"/>
        <n v="3573"/>
        <n v="6296"/>
        <n v="7146"/>
        <n v="9956"/>
        <n v="9606"/>
        <n v="6180"/>
        <n v="4737"/>
        <n v="1941"/>
        <n v="1771"/>
        <n v="7238"/>
        <n v="5026"/>
        <n v="1626"/>
        <n v="2106"/>
        <n v="7223"/>
        <n v="8592"/>
        <n v="4354"/>
        <n v="4661"/>
        <n v="6009"/>
        <n v="2903"/>
        <n v="4973"/>
        <n v="9115"/>
        <n v="5610"/>
        <n v="9446"/>
        <n v="3948"/>
        <n v="6990"/>
        <n v="9457"/>
        <n v="4019"/>
        <n v="6620"/>
        <n v="6830"/>
        <n v="8772"/>
        <n v="1608"/>
        <n v="6494"/>
        <n v="7967"/>
        <n v="6366"/>
        <n v="1250"/>
        <n v="8774"/>
        <n v="7855"/>
        <n v="2606"/>
        <n v="2415"/>
        <n v="4177"/>
        <n v="4442"/>
        <m/>
      </sharedItems>
    </cacheField>
    <cacheField name="Kunde" numFmtId="0">
      <sharedItems containsBlank="1" count="7">
        <s v="Meyer Ag"/>
        <s v="Wellna Pumpen GmbH"/>
        <s v="Cwaka Brennerei GmBH"/>
        <s v="Peischl Marketing"/>
        <s v="Werthwein Design"/>
        <s v="Mesmer Weinbau AG"/>
        <m/>
      </sharedItems>
    </cacheField>
    <cacheField name="Liefertermintreue" numFmtId="0">
      <sharedItems containsBlank="1"/>
    </cacheField>
    <cacheField name="Retoure" numFmtId="0">
      <sharedItems containsBlank="1"/>
    </cacheField>
    <cacheField name="Kundenzufriedenheit" numFmtId="0">
      <sharedItems containsBlank="1" count="6">
        <s v="Sehr zufrieden"/>
        <s v="Zufrieden"/>
        <s v="Sehr unzufrieden"/>
        <s v="Unzufrieden"/>
        <s v="Neutral"/>
        <m/>
      </sharedItems>
    </cacheField>
    <cacheField name="Standort" numFmtId="0">
      <sharedItems containsBlank="1" count="5">
        <m/>
        <s v="Zürich"/>
        <s v="Bern"/>
        <s v="Luzern"/>
        <s v="Genf"/>
      </sharedItems>
    </cacheField>
    <cacheField name="Mitarbeiter (M)" numFmtId="0">
      <sharedItems containsString="0" containsBlank="1" containsNumber="1" containsInteger="1" minValue="2" maxValue="20" count="13">
        <m/>
        <n v="8"/>
        <n v="9"/>
        <n v="10"/>
        <n v="7"/>
        <n v="6"/>
        <n v="12"/>
        <n v="13"/>
        <n v="14"/>
        <n v="15"/>
        <n v="20"/>
        <n v="4"/>
        <n v="2"/>
      </sharedItems>
    </cacheField>
    <cacheField name="Mitarbeiter (F)" numFmtId="0">
      <sharedItems containsString="0" containsBlank="1" containsNumber="1" containsInteger="1" minValue="4" maxValue="19" count="12">
        <m/>
        <n v="4"/>
        <n v="5"/>
        <n v="6"/>
        <n v="8"/>
        <n v="12"/>
        <n v="13"/>
        <n v="14"/>
        <n v="16"/>
        <n v="18"/>
        <n v="19"/>
        <n v="10"/>
      </sharedItems>
    </cacheField>
    <cacheField name="Lager" numFmtId="0">
      <sharedItems containsBlank="1"/>
    </cacheField>
    <cacheField name="Monate" numFmtId="0" databaseField="0">
      <fieldGroup base="1">
        <rangePr groupBy="months" startDate="2019-01-01T00:00:00" endDate="2020-01-01T00:00:00"/>
        <groupItems count="14">
          <s v="&lt;01.01.19"/>
          <s v="Jan"/>
          <s v="Feb"/>
          <s v="Mär"/>
          <s v="Apr"/>
          <s v="Mai"/>
          <s v="Jun"/>
          <s v="Jul"/>
          <s v="Aug"/>
          <s v="Sep"/>
          <s v="Okt"/>
          <s v="Nov"/>
          <s v="Dez"/>
          <s v="&gt;01.01.20"/>
        </groupItems>
      </fieldGroup>
    </cacheField>
  </cacheFields>
  <extLst>
    <ext xmlns:x14="http://schemas.microsoft.com/office/spreadsheetml/2009/9/main" uri="{725AE2AE-9491-48be-B2B4-4EB974FC3084}">
      <x14:pivotCacheDefinition pivotCacheId="59450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3">
  <r>
    <s v="F/P/K"/>
    <x v="0"/>
    <x v="0"/>
    <x v="0"/>
    <x v="0"/>
    <x v="0"/>
    <x v="0"/>
    <x v="0"/>
    <x v="0"/>
    <s v="Sehr zufrieden"/>
    <x v="0"/>
    <x v="0"/>
    <x v="0"/>
  </r>
  <r>
    <s v="F/P/K"/>
    <x v="1"/>
    <x v="1"/>
    <x v="1"/>
    <x v="1"/>
    <x v="1"/>
    <x v="1"/>
    <x v="1"/>
    <x v="0"/>
    <s v="Sehr zufrieden"/>
    <x v="0"/>
    <x v="0"/>
    <x v="0"/>
  </r>
  <r>
    <s v="F/P/K"/>
    <x v="2"/>
    <x v="2"/>
    <x v="2"/>
    <x v="2"/>
    <x v="2"/>
    <x v="2"/>
    <x v="0"/>
    <x v="0"/>
    <s v="Sehr zufrieden"/>
    <x v="0"/>
    <x v="0"/>
    <x v="0"/>
  </r>
  <r>
    <s v="F/P/K"/>
    <x v="3"/>
    <x v="3"/>
    <x v="3"/>
    <x v="3"/>
    <x v="3"/>
    <x v="3"/>
    <x v="0"/>
    <x v="0"/>
    <s v="Sehr zufrieden"/>
    <x v="0"/>
    <x v="0"/>
    <x v="0"/>
  </r>
  <r>
    <s v="F/P/K"/>
    <x v="4"/>
    <x v="4"/>
    <x v="4"/>
    <x v="4"/>
    <x v="4"/>
    <x v="4"/>
    <x v="0"/>
    <x v="0"/>
    <s v="Zufrieden"/>
    <x v="0"/>
    <x v="0"/>
    <x v="0"/>
  </r>
  <r>
    <s v="F/P/K"/>
    <x v="5"/>
    <x v="5"/>
    <x v="5"/>
    <x v="5"/>
    <x v="5"/>
    <x v="5"/>
    <x v="0"/>
    <x v="0"/>
    <s v="Zufrieden"/>
    <x v="0"/>
    <x v="0"/>
    <x v="0"/>
  </r>
  <r>
    <s v="F/P/K"/>
    <x v="6"/>
    <x v="0"/>
    <x v="6"/>
    <x v="6"/>
    <x v="6"/>
    <x v="0"/>
    <x v="0"/>
    <x v="0"/>
    <s v="Zufrieden"/>
    <x v="0"/>
    <x v="0"/>
    <x v="0"/>
  </r>
  <r>
    <s v="F/P/K"/>
    <x v="7"/>
    <x v="1"/>
    <x v="7"/>
    <x v="7"/>
    <x v="7"/>
    <x v="1"/>
    <x v="1"/>
    <x v="0"/>
    <s v="Zufrieden"/>
    <x v="0"/>
    <x v="0"/>
    <x v="0"/>
  </r>
  <r>
    <s v="F/P/K"/>
    <x v="8"/>
    <x v="2"/>
    <x v="8"/>
    <x v="8"/>
    <x v="8"/>
    <x v="2"/>
    <x v="0"/>
    <x v="0"/>
    <s v="Zufrieden"/>
    <x v="0"/>
    <x v="0"/>
    <x v="0"/>
  </r>
  <r>
    <s v="F/P/K"/>
    <x v="9"/>
    <x v="3"/>
    <x v="9"/>
    <x v="9"/>
    <x v="9"/>
    <x v="3"/>
    <x v="0"/>
    <x v="0"/>
    <s v="Zufrieden"/>
    <x v="0"/>
    <x v="0"/>
    <x v="0"/>
  </r>
  <r>
    <s v="F/P/K"/>
    <x v="10"/>
    <x v="4"/>
    <x v="0"/>
    <x v="10"/>
    <x v="10"/>
    <x v="4"/>
    <x v="0"/>
    <x v="0"/>
    <s v="Zufrieden"/>
    <x v="0"/>
    <x v="0"/>
    <x v="0"/>
  </r>
  <r>
    <s v="F/P/K"/>
    <x v="11"/>
    <x v="5"/>
    <x v="1"/>
    <x v="11"/>
    <x v="11"/>
    <x v="5"/>
    <x v="0"/>
    <x v="0"/>
    <s v="Zufrieden"/>
    <x v="0"/>
    <x v="0"/>
    <x v="0"/>
  </r>
  <r>
    <s v="F/P/K"/>
    <x v="12"/>
    <x v="0"/>
    <x v="2"/>
    <x v="12"/>
    <x v="12"/>
    <x v="0"/>
    <x v="0"/>
    <x v="0"/>
    <s v="Zufrieden"/>
    <x v="0"/>
    <x v="0"/>
    <x v="0"/>
  </r>
  <r>
    <s v="F/P/K"/>
    <x v="13"/>
    <x v="1"/>
    <x v="3"/>
    <x v="13"/>
    <x v="13"/>
    <x v="1"/>
    <x v="0"/>
    <x v="0"/>
    <s v="Zufrieden"/>
    <x v="0"/>
    <x v="0"/>
    <x v="0"/>
  </r>
  <r>
    <s v="F/P/K"/>
    <x v="14"/>
    <x v="2"/>
    <x v="4"/>
    <x v="14"/>
    <x v="14"/>
    <x v="2"/>
    <x v="0"/>
    <x v="0"/>
    <s v="Zufrieden"/>
    <x v="0"/>
    <x v="0"/>
    <x v="0"/>
  </r>
  <r>
    <s v="F/P/K"/>
    <x v="15"/>
    <x v="3"/>
    <x v="5"/>
    <x v="15"/>
    <x v="15"/>
    <x v="3"/>
    <x v="0"/>
    <x v="0"/>
    <s v="Zufrieden"/>
    <x v="0"/>
    <x v="0"/>
    <x v="0"/>
  </r>
  <r>
    <s v="F/P/K"/>
    <x v="16"/>
    <x v="4"/>
    <x v="6"/>
    <x v="16"/>
    <x v="16"/>
    <x v="4"/>
    <x v="0"/>
    <x v="0"/>
    <s v="Zufrieden"/>
    <x v="0"/>
    <x v="0"/>
    <x v="0"/>
  </r>
  <r>
    <s v="F/P/K"/>
    <x v="17"/>
    <x v="5"/>
    <x v="7"/>
    <x v="17"/>
    <x v="17"/>
    <x v="5"/>
    <x v="1"/>
    <x v="0"/>
    <s v="Sehr zufrieden"/>
    <x v="0"/>
    <x v="0"/>
    <x v="0"/>
  </r>
  <r>
    <s v="F/P/K"/>
    <x v="18"/>
    <x v="0"/>
    <x v="8"/>
    <x v="18"/>
    <x v="18"/>
    <x v="0"/>
    <x v="1"/>
    <x v="0"/>
    <s v="Sehr zufrieden"/>
    <x v="0"/>
    <x v="0"/>
    <x v="0"/>
  </r>
  <r>
    <s v="F/P/K"/>
    <x v="19"/>
    <x v="1"/>
    <x v="9"/>
    <x v="19"/>
    <x v="19"/>
    <x v="1"/>
    <x v="0"/>
    <x v="0"/>
    <s v="Sehr zufrieden"/>
    <x v="0"/>
    <x v="0"/>
    <x v="0"/>
  </r>
  <r>
    <s v="F/P/K"/>
    <x v="20"/>
    <x v="2"/>
    <x v="0"/>
    <x v="20"/>
    <x v="20"/>
    <x v="2"/>
    <x v="0"/>
    <x v="0"/>
    <s v="Sehr zufrieden"/>
    <x v="0"/>
    <x v="0"/>
    <x v="0"/>
  </r>
  <r>
    <s v="F/P/K"/>
    <x v="21"/>
    <x v="3"/>
    <x v="1"/>
    <x v="21"/>
    <x v="21"/>
    <x v="3"/>
    <x v="0"/>
    <x v="0"/>
    <s v="Sehr zufrieden"/>
    <x v="0"/>
    <x v="0"/>
    <x v="0"/>
  </r>
  <r>
    <s v="F/P/K"/>
    <x v="22"/>
    <x v="4"/>
    <x v="2"/>
    <x v="22"/>
    <x v="22"/>
    <x v="4"/>
    <x v="0"/>
    <x v="0"/>
    <s v="Sehr zufrieden"/>
    <x v="0"/>
    <x v="0"/>
    <x v="0"/>
  </r>
  <r>
    <s v="F/P/K"/>
    <x v="23"/>
    <x v="5"/>
    <x v="3"/>
    <x v="23"/>
    <x v="23"/>
    <x v="5"/>
    <x v="0"/>
    <x v="0"/>
    <s v="Zufrieden"/>
    <x v="0"/>
    <x v="0"/>
    <x v="0"/>
  </r>
  <r>
    <s v="F/P/K"/>
    <x v="24"/>
    <x v="0"/>
    <x v="4"/>
    <x v="24"/>
    <x v="24"/>
    <x v="0"/>
    <x v="0"/>
    <x v="0"/>
    <s v="Sehr unzufrieden"/>
    <x v="0"/>
    <x v="0"/>
    <x v="0"/>
  </r>
  <r>
    <s v="F/P/K"/>
    <x v="25"/>
    <x v="1"/>
    <x v="5"/>
    <x v="25"/>
    <x v="25"/>
    <x v="1"/>
    <x v="0"/>
    <x v="0"/>
    <s v="Zufrieden"/>
    <x v="0"/>
    <x v="0"/>
    <x v="0"/>
  </r>
  <r>
    <s v="F/P/K"/>
    <x v="26"/>
    <x v="2"/>
    <x v="6"/>
    <x v="26"/>
    <x v="26"/>
    <x v="2"/>
    <x v="0"/>
    <x v="0"/>
    <s v="Sehr unzufrieden"/>
    <x v="0"/>
    <x v="0"/>
    <x v="0"/>
  </r>
  <r>
    <s v="F/P/K"/>
    <x v="27"/>
    <x v="3"/>
    <x v="7"/>
    <x v="27"/>
    <x v="27"/>
    <x v="3"/>
    <x v="0"/>
    <x v="0"/>
    <s v="Sehr unzufrieden"/>
    <x v="0"/>
    <x v="0"/>
    <x v="0"/>
  </r>
  <r>
    <s v="F/P/K"/>
    <x v="28"/>
    <x v="4"/>
    <x v="8"/>
    <x v="28"/>
    <x v="28"/>
    <x v="4"/>
    <x v="1"/>
    <x v="0"/>
    <s v="Zufrieden"/>
    <x v="0"/>
    <x v="0"/>
    <x v="0"/>
  </r>
  <r>
    <s v="F/P/K"/>
    <x v="29"/>
    <x v="5"/>
    <x v="9"/>
    <x v="29"/>
    <x v="29"/>
    <x v="5"/>
    <x v="1"/>
    <x v="0"/>
    <s v="Sehr unzufrieden"/>
    <x v="0"/>
    <x v="0"/>
    <x v="0"/>
  </r>
  <r>
    <s v="F/P/K"/>
    <x v="30"/>
    <x v="0"/>
    <x v="0"/>
    <x v="30"/>
    <x v="30"/>
    <x v="0"/>
    <x v="1"/>
    <x v="0"/>
    <s v="Zufrieden"/>
    <x v="0"/>
    <x v="0"/>
    <x v="0"/>
  </r>
  <r>
    <s v="F/P/K"/>
    <x v="31"/>
    <x v="1"/>
    <x v="1"/>
    <x v="31"/>
    <x v="31"/>
    <x v="1"/>
    <x v="1"/>
    <x v="0"/>
    <s v="Sehr unzufrieden"/>
    <x v="0"/>
    <x v="0"/>
    <x v="0"/>
  </r>
  <r>
    <s v="F/P/K"/>
    <x v="32"/>
    <x v="2"/>
    <x v="2"/>
    <x v="32"/>
    <x v="32"/>
    <x v="2"/>
    <x v="1"/>
    <x v="0"/>
    <s v="Zufrieden"/>
    <x v="0"/>
    <x v="0"/>
    <x v="0"/>
  </r>
  <r>
    <s v="F/P/K"/>
    <x v="33"/>
    <x v="3"/>
    <x v="3"/>
    <x v="33"/>
    <x v="33"/>
    <x v="3"/>
    <x v="1"/>
    <x v="0"/>
    <s v="Sehr zufrieden"/>
    <x v="0"/>
    <x v="0"/>
    <x v="0"/>
  </r>
  <r>
    <s v="F/P/K"/>
    <x v="34"/>
    <x v="4"/>
    <x v="4"/>
    <x v="34"/>
    <x v="34"/>
    <x v="4"/>
    <x v="1"/>
    <x v="0"/>
    <s v="Sehr zufrieden"/>
    <x v="0"/>
    <x v="0"/>
    <x v="0"/>
  </r>
  <r>
    <s v="F/P/K"/>
    <x v="35"/>
    <x v="5"/>
    <x v="5"/>
    <x v="35"/>
    <x v="35"/>
    <x v="5"/>
    <x v="1"/>
    <x v="0"/>
    <s v="Sehr zufrieden"/>
    <x v="0"/>
    <x v="0"/>
    <x v="0"/>
  </r>
  <r>
    <s v="F/P/K"/>
    <x v="36"/>
    <x v="0"/>
    <x v="6"/>
    <x v="36"/>
    <x v="36"/>
    <x v="0"/>
    <x v="1"/>
    <x v="0"/>
    <s v="Sehr zufrieden"/>
    <x v="0"/>
    <x v="0"/>
    <x v="0"/>
  </r>
  <r>
    <s v="F/P/K"/>
    <x v="37"/>
    <x v="1"/>
    <x v="7"/>
    <x v="37"/>
    <x v="37"/>
    <x v="1"/>
    <x v="1"/>
    <x v="0"/>
    <s v="Sehr zufrieden"/>
    <x v="0"/>
    <x v="0"/>
    <x v="0"/>
  </r>
  <r>
    <s v="F/P/K"/>
    <x v="38"/>
    <x v="2"/>
    <x v="8"/>
    <x v="38"/>
    <x v="38"/>
    <x v="2"/>
    <x v="1"/>
    <x v="0"/>
    <s v="Zufrieden"/>
    <x v="0"/>
    <x v="0"/>
    <x v="0"/>
  </r>
  <r>
    <s v="F/P/K"/>
    <x v="39"/>
    <x v="3"/>
    <x v="9"/>
    <x v="39"/>
    <x v="39"/>
    <x v="3"/>
    <x v="1"/>
    <x v="0"/>
    <s v="Zufrieden"/>
    <x v="0"/>
    <x v="0"/>
    <x v="0"/>
  </r>
  <r>
    <s v="F/P/K"/>
    <x v="40"/>
    <x v="4"/>
    <x v="0"/>
    <x v="40"/>
    <x v="40"/>
    <x v="4"/>
    <x v="1"/>
    <x v="0"/>
    <s v="Sehr unzufrieden"/>
    <x v="0"/>
    <x v="0"/>
    <x v="0"/>
  </r>
  <r>
    <s v="F/P/K"/>
    <x v="41"/>
    <x v="5"/>
    <x v="1"/>
    <x v="41"/>
    <x v="41"/>
    <x v="5"/>
    <x v="1"/>
    <x v="0"/>
    <s v="Zufrieden"/>
    <x v="0"/>
    <x v="0"/>
    <x v="0"/>
  </r>
  <r>
    <s v="F/P/K"/>
    <x v="42"/>
    <x v="0"/>
    <x v="2"/>
    <x v="42"/>
    <x v="42"/>
    <x v="0"/>
    <x v="1"/>
    <x v="0"/>
    <s v="Zufrieden"/>
    <x v="0"/>
    <x v="0"/>
    <x v="0"/>
  </r>
  <r>
    <s v="F/P/K"/>
    <x v="43"/>
    <x v="1"/>
    <x v="3"/>
    <x v="43"/>
    <x v="43"/>
    <x v="1"/>
    <x v="1"/>
    <x v="0"/>
    <s v="Sehr unzufrieden"/>
    <x v="0"/>
    <x v="0"/>
    <x v="0"/>
  </r>
  <r>
    <s v="F/P/K"/>
    <x v="44"/>
    <x v="2"/>
    <x v="4"/>
    <x v="44"/>
    <x v="44"/>
    <x v="2"/>
    <x v="1"/>
    <x v="0"/>
    <s v="Zufrieden"/>
    <x v="0"/>
    <x v="0"/>
    <x v="0"/>
  </r>
  <r>
    <s v="F/P/K"/>
    <x v="45"/>
    <x v="3"/>
    <x v="5"/>
    <x v="45"/>
    <x v="45"/>
    <x v="3"/>
    <x v="1"/>
    <x v="0"/>
    <s v="Sehr unzufrieden"/>
    <x v="0"/>
    <x v="0"/>
    <x v="0"/>
  </r>
  <r>
    <s v="F/P/K"/>
    <x v="46"/>
    <x v="4"/>
    <x v="6"/>
    <x v="46"/>
    <x v="46"/>
    <x v="4"/>
    <x v="1"/>
    <x v="0"/>
    <s v="Sehr unzufrieden"/>
    <x v="0"/>
    <x v="0"/>
    <x v="0"/>
  </r>
  <r>
    <s v="F/P/K"/>
    <x v="47"/>
    <x v="5"/>
    <x v="7"/>
    <x v="47"/>
    <x v="47"/>
    <x v="5"/>
    <x v="1"/>
    <x v="0"/>
    <s v="Unzufrieden"/>
    <x v="0"/>
    <x v="0"/>
    <x v="0"/>
  </r>
  <r>
    <s v="F/P/K"/>
    <x v="48"/>
    <x v="0"/>
    <x v="8"/>
    <x v="48"/>
    <x v="48"/>
    <x v="0"/>
    <x v="1"/>
    <x v="0"/>
    <s v="Unzufrieden"/>
    <x v="0"/>
    <x v="0"/>
    <x v="0"/>
  </r>
  <r>
    <s v="F/P/K"/>
    <x v="49"/>
    <x v="1"/>
    <x v="9"/>
    <x v="49"/>
    <x v="49"/>
    <x v="1"/>
    <x v="0"/>
    <x v="0"/>
    <s v="Zufrieden"/>
    <x v="0"/>
    <x v="0"/>
    <x v="0"/>
  </r>
  <r>
    <s v="F/P/K"/>
    <x v="50"/>
    <x v="2"/>
    <x v="0"/>
    <x v="50"/>
    <x v="50"/>
    <x v="2"/>
    <x v="0"/>
    <x v="0"/>
    <s v="Sehr unzufrieden"/>
    <x v="0"/>
    <x v="0"/>
    <x v="0"/>
  </r>
  <r>
    <s v="F/P/K"/>
    <x v="51"/>
    <x v="3"/>
    <x v="1"/>
    <x v="51"/>
    <x v="51"/>
    <x v="3"/>
    <x v="0"/>
    <x v="0"/>
    <s v="Unzufrieden"/>
    <x v="0"/>
    <x v="0"/>
    <x v="0"/>
  </r>
  <r>
    <s v="F/P/K"/>
    <x v="52"/>
    <x v="4"/>
    <x v="2"/>
    <x v="52"/>
    <x v="52"/>
    <x v="4"/>
    <x v="0"/>
    <x v="0"/>
    <s v="Sehr unzufrieden"/>
    <x v="0"/>
    <x v="0"/>
    <x v="0"/>
  </r>
  <r>
    <s v="F/P/K"/>
    <x v="53"/>
    <x v="5"/>
    <x v="3"/>
    <x v="53"/>
    <x v="53"/>
    <x v="5"/>
    <x v="1"/>
    <x v="0"/>
    <s v="Sehr zufrieden"/>
    <x v="0"/>
    <x v="0"/>
    <x v="0"/>
  </r>
  <r>
    <s v="F/P/K"/>
    <x v="54"/>
    <x v="0"/>
    <x v="4"/>
    <x v="54"/>
    <x v="54"/>
    <x v="0"/>
    <x v="0"/>
    <x v="0"/>
    <s v="Sehr zufrieden"/>
    <x v="0"/>
    <x v="0"/>
    <x v="0"/>
  </r>
  <r>
    <s v="F/P/K"/>
    <x v="55"/>
    <x v="1"/>
    <x v="5"/>
    <x v="55"/>
    <x v="55"/>
    <x v="1"/>
    <x v="0"/>
    <x v="0"/>
    <s v="Sehr zufrieden"/>
    <x v="0"/>
    <x v="0"/>
    <x v="0"/>
  </r>
  <r>
    <s v="F/P/K"/>
    <x v="56"/>
    <x v="2"/>
    <x v="6"/>
    <x v="56"/>
    <x v="56"/>
    <x v="2"/>
    <x v="0"/>
    <x v="0"/>
    <s v="Sehr zufrieden"/>
    <x v="0"/>
    <x v="0"/>
    <x v="0"/>
  </r>
  <r>
    <s v="F/P/K"/>
    <x v="57"/>
    <x v="3"/>
    <x v="7"/>
    <x v="57"/>
    <x v="57"/>
    <x v="3"/>
    <x v="0"/>
    <x v="0"/>
    <s v="Sehr zufrieden"/>
    <x v="0"/>
    <x v="0"/>
    <x v="0"/>
  </r>
  <r>
    <s v="F/P/K"/>
    <x v="58"/>
    <x v="4"/>
    <x v="8"/>
    <x v="58"/>
    <x v="58"/>
    <x v="4"/>
    <x v="0"/>
    <x v="0"/>
    <s v="Sehr zufrieden"/>
    <x v="0"/>
    <x v="0"/>
    <x v="0"/>
  </r>
  <r>
    <s v="F/P/K"/>
    <x v="59"/>
    <x v="5"/>
    <x v="9"/>
    <x v="59"/>
    <x v="59"/>
    <x v="5"/>
    <x v="0"/>
    <x v="0"/>
    <s v="Sehr unzufrieden"/>
    <x v="0"/>
    <x v="0"/>
    <x v="0"/>
  </r>
  <r>
    <s v="F/P/K"/>
    <x v="60"/>
    <x v="0"/>
    <x v="0"/>
    <x v="60"/>
    <x v="60"/>
    <x v="0"/>
    <x v="1"/>
    <x v="0"/>
    <s v="Sehr unzufrieden"/>
    <x v="0"/>
    <x v="0"/>
    <x v="0"/>
  </r>
  <r>
    <s v="F/P/K"/>
    <x v="61"/>
    <x v="1"/>
    <x v="1"/>
    <x v="61"/>
    <x v="61"/>
    <x v="1"/>
    <x v="1"/>
    <x v="0"/>
    <s v="Unzufrieden"/>
    <x v="0"/>
    <x v="0"/>
    <x v="0"/>
  </r>
  <r>
    <s v="F/P/K"/>
    <x v="62"/>
    <x v="2"/>
    <x v="2"/>
    <x v="62"/>
    <x v="62"/>
    <x v="2"/>
    <x v="1"/>
    <x v="0"/>
    <s v="Sehr unzufrieden"/>
    <x v="0"/>
    <x v="0"/>
    <x v="0"/>
  </r>
  <r>
    <s v="F/P/K"/>
    <x v="63"/>
    <x v="3"/>
    <x v="3"/>
    <x v="63"/>
    <x v="63"/>
    <x v="3"/>
    <x v="1"/>
    <x v="0"/>
    <s v="Unzufrieden"/>
    <x v="0"/>
    <x v="0"/>
    <x v="0"/>
  </r>
  <r>
    <s v="F/P/K"/>
    <x v="64"/>
    <x v="4"/>
    <x v="4"/>
    <x v="64"/>
    <x v="64"/>
    <x v="4"/>
    <x v="1"/>
    <x v="0"/>
    <s v="Unzufrieden"/>
    <x v="0"/>
    <x v="0"/>
    <x v="0"/>
  </r>
  <r>
    <s v="F/P/K"/>
    <x v="65"/>
    <x v="5"/>
    <x v="5"/>
    <x v="65"/>
    <x v="65"/>
    <x v="5"/>
    <x v="1"/>
    <x v="0"/>
    <s v="Unzufrieden"/>
    <x v="0"/>
    <x v="0"/>
    <x v="0"/>
  </r>
  <r>
    <s v="F/P/K"/>
    <x v="66"/>
    <x v="0"/>
    <x v="6"/>
    <x v="66"/>
    <x v="66"/>
    <x v="0"/>
    <x v="1"/>
    <x v="0"/>
    <s v="Unzufrieden"/>
    <x v="0"/>
    <x v="0"/>
    <x v="0"/>
  </r>
  <r>
    <s v="F/P/K"/>
    <x v="67"/>
    <x v="1"/>
    <x v="7"/>
    <x v="67"/>
    <x v="67"/>
    <x v="1"/>
    <x v="1"/>
    <x v="0"/>
    <s v="Unzufrieden"/>
    <x v="0"/>
    <x v="0"/>
    <x v="0"/>
  </r>
  <r>
    <s v="F/P/K"/>
    <x v="68"/>
    <x v="2"/>
    <x v="8"/>
    <x v="68"/>
    <x v="68"/>
    <x v="2"/>
    <x v="1"/>
    <x v="0"/>
    <s v="Sehr unzufrieden"/>
    <x v="0"/>
    <x v="0"/>
    <x v="0"/>
  </r>
  <r>
    <s v="F/P/K"/>
    <x v="69"/>
    <x v="3"/>
    <x v="9"/>
    <x v="69"/>
    <x v="69"/>
    <x v="3"/>
    <x v="1"/>
    <x v="0"/>
    <s v="Sehr unzufrieden"/>
    <x v="0"/>
    <x v="0"/>
    <x v="0"/>
  </r>
  <r>
    <s v="F/P/K"/>
    <x v="70"/>
    <x v="4"/>
    <x v="0"/>
    <x v="70"/>
    <x v="41"/>
    <x v="4"/>
    <x v="0"/>
    <x v="0"/>
    <s v="Sehr unzufrieden"/>
    <x v="0"/>
    <x v="0"/>
    <x v="0"/>
  </r>
  <r>
    <s v="F/P/K"/>
    <x v="71"/>
    <x v="5"/>
    <x v="1"/>
    <x v="71"/>
    <x v="70"/>
    <x v="5"/>
    <x v="0"/>
    <x v="0"/>
    <s v="Sehr unzufrieden"/>
    <x v="0"/>
    <x v="0"/>
    <x v="0"/>
  </r>
  <r>
    <s v="F/P/K"/>
    <x v="72"/>
    <x v="0"/>
    <x v="2"/>
    <x v="72"/>
    <x v="71"/>
    <x v="0"/>
    <x v="0"/>
    <x v="0"/>
    <s v="Sehr unzufrieden"/>
    <x v="0"/>
    <x v="0"/>
    <x v="0"/>
  </r>
  <r>
    <s v="F/P/K"/>
    <x v="73"/>
    <x v="1"/>
    <x v="3"/>
    <x v="73"/>
    <x v="72"/>
    <x v="1"/>
    <x v="0"/>
    <x v="0"/>
    <s v="Sehr unzufrieden"/>
    <x v="0"/>
    <x v="0"/>
    <x v="0"/>
  </r>
  <r>
    <s v="F/P/K"/>
    <x v="74"/>
    <x v="2"/>
    <x v="4"/>
    <x v="74"/>
    <x v="73"/>
    <x v="2"/>
    <x v="0"/>
    <x v="0"/>
    <s v="Unzufrieden"/>
    <x v="0"/>
    <x v="0"/>
    <x v="0"/>
  </r>
  <r>
    <s v="F/P/K"/>
    <x v="75"/>
    <x v="3"/>
    <x v="5"/>
    <x v="75"/>
    <x v="74"/>
    <x v="3"/>
    <x v="0"/>
    <x v="0"/>
    <s v="Unzufrieden"/>
    <x v="0"/>
    <x v="0"/>
    <x v="0"/>
  </r>
  <r>
    <s v="F/P/K"/>
    <x v="76"/>
    <x v="4"/>
    <x v="6"/>
    <x v="76"/>
    <x v="75"/>
    <x v="4"/>
    <x v="0"/>
    <x v="0"/>
    <s v="Unzufrieden"/>
    <x v="0"/>
    <x v="0"/>
    <x v="0"/>
  </r>
  <r>
    <s v="F/P/K"/>
    <x v="77"/>
    <x v="5"/>
    <x v="7"/>
    <x v="77"/>
    <x v="76"/>
    <x v="5"/>
    <x v="0"/>
    <x v="0"/>
    <s v="Unzufrieden"/>
    <x v="0"/>
    <x v="0"/>
    <x v="0"/>
  </r>
  <r>
    <s v="F/P/K"/>
    <x v="78"/>
    <x v="0"/>
    <x v="8"/>
    <x v="78"/>
    <x v="77"/>
    <x v="0"/>
    <x v="0"/>
    <x v="0"/>
    <s v="Sehr zufrieden"/>
    <x v="0"/>
    <x v="0"/>
    <x v="0"/>
  </r>
  <r>
    <s v="F/P/K"/>
    <x v="79"/>
    <x v="1"/>
    <x v="9"/>
    <x v="79"/>
    <x v="78"/>
    <x v="1"/>
    <x v="0"/>
    <x v="0"/>
    <s v="Sehr zufrieden"/>
    <x v="0"/>
    <x v="0"/>
    <x v="0"/>
  </r>
  <r>
    <s v="F/P/K"/>
    <x v="80"/>
    <x v="2"/>
    <x v="0"/>
    <x v="80"/>
    <x v="79"/>
    <x v="2"/>
    <x v="0"/>
    <x v="0"/>
    <s v="Sehr zufrieden"/>
    <x v="0"/>
    <x v="0"/>
    <x v="0"/>
  </r>
  <r>
    <s v="F/P/K"/>
    <x v="81"/>
    <x v="3"/>
    <x v="1"/>
    <x v="81"/>
    <x v="75"/>
    <x v="3"/>
    <x v="0"/>
    <x v="0"/>
    <s v="Unzufrieden"/>
    <x v="0"/>
    <x v="0"/>
    <x v="0"/>
  </r>
  <r>
    <s v="F/P/K"/>
    <x v="82"/>
    <x v="4"/>
    <x v="2"/>
    <x v="82"/>
    <x v="80"/>
    <x v="4"/>
    <x v="0"/>
    <x v="0"/>
    <s v="Unzufrieden"/>
    <x v="0"/>
    <x v="0"/>
    <x v="0"/>
  </r>
  <r>
    <s v="F/P/K"/>
    <x v="83"/>
    <x v="5"/>
    <x v="3"/>
    <x v="83"/>
    <x v="81"/>
    <x v="5"/>
    <x v="1"/>
    <x v="0"/>
    <s v="Unzufrieden"/>
    <x v="0"/>
    <x v="0"/>
    <x v="0"/>
  </r>
  <r>
    <s v="F/P/K"/>
    <x v="84"/>
    <x v="0"/>
    <x v="4"/>
    <x v="84"/>
    <x v="82"/>
    <x v="0"/>
    <x v="1"/>
    <x v="0"/>
    <s v="Unzufrieden"/>
    <x v="0"/>
    <x v="0"/>
    <x v="0"/>
  </r>
  <r>
    <s v="F/P/K"/>
    <x v="85"/>
    <x v="1"/>
    <x v="5"/>
    <x v="85"/>
    <x v="83"/>
    <x v="1"/>
    <x v="1"/>
    <x v="0"/>
    <s v="Sehr unzufrieden"/>
    <x v="0"/>
    <x v="0"/>
    <x v="0"/>
  </r>
  <r>
    <s v="F/P/K"/>
    <x v="86"/>
    <x v="2"/>
    <x v="6"/>
    <x v="86"/>
    <x v="84"/>
    <x v="2"/>
    <x v="1"/>
    <x v="0"/>
    <s v="Sehr unzufrieden"/>
    <x v="0"/>
    <x v="0"/>
    <x v="0"/>
  </r>
  <r>
    <s v="F/P/K"/>
    <x v="87"/>
    <x v="3"/>
    <x v="7"/>
    <x v="87"/>
    <x v="85"/>
    <x v="3"/>
    <x v="1"/>
    <x v="0"/>
    <s v="Sehr unzufrieden"/>
    <x v="0"/>
    <x v="0"/>
    <x v="0"/>
  </r>
  <r>
    <s v="F/P/K"/>
    <x v="88"/>
    <x v="4"/>
    <x v="8"/>
    <x v="88"/>
    <x v="86"/>
    <x v="4"/>
    <x v="1"/>
    <x v="0"/>
    <s v="Zufrieden"/>
    <x v="0"/>
    <x v="0"/>
    <x v="0"/>
  </r>
  <r>
    <s v="F/P/K"/>
    <x v="89"/>
    <x v="5"/>
    <x v="9"/>
    <x v="89"/>
    <x v="87"/>
    <x v="5"/>
    <x v="1"/>
    <x v="0"/>
    <s v="Zufrieden"/>
    <x v="0"/>
    <x v="0"/>
    <x v="0"/>
  </r>
  <r>
    <s v="F/P/K"/>
    <x v="90"/>
    <x v="0"/>
    <x v="0"/>
    <x v="90"/>
    <x v="88"/>
    <x v="0"/>
    <x v="1"/>
    <x v="0"/>
    <s v="Zufrieden"/>
    <x v="0"/>
    <x v="0"/>
    <x v="0"/>
  </r>
  <r>
    <s v="F/P/K"/>
    <x v="91"/>
    <x v="1"/>
    <x v="1"/>
    <x v="91"/>
    <x v="89"/>
    <x v="1"/>
    <x v="1"/>
    <x v="0"/>
    <s v="Zufrieden"/>
    <x v="0"/>
    <x v="0"/>
    <x v="0"/>
  </r>
  <r>
    <s v="F/P/K"/>
    <x v="92"/>
    <x v="2"/>
    <x v="2"/>
    <x v="92"/>
    <x v="90"/>
    <x v="2"/>
    <x v="1"/>
    <x v="0"/>
    <s v="Unzufrieden"/>
    <x v="0"/>
    <x v="0"/>
    <x v="0"/>
  </r>
  <r>
    <s v="F/P/K"/>
    <x v="93"/>
    <x v="3"/>
    <x v="3"/>
    <x v="93"/>
    <x v="91"/>
    <x v="3"/>
    <x v="1"/>
    <x v="0"/>
    <s v="Unzufrieden"/>
    <x v="0"/>
    <x v="0"/>
    <x v="0"/>
  </r>
  <r>
    <s v="F/P/K"/>
    <x v="94"/>
    <x v="4"/>
    <x v="4"/>
    <x v="94"/>
    <x v="92"/>
    <x v="4"/>
    <x v="0"/>
    <x v="0"/>
    <s v="Zufrieden"/>
    <x v="0"/>
    <x v="0"/>
    <x v="0"/>
  </r>
  <r>
    <s v="F/P/K"/>
    <x v="95"/>
    <x v="5"/>
    <x v="5"/>
    <x v="95"/>
    <x v="93"/>
    <x v="5"/>
    <x v="0"/>
    <x v="0"/>
    <s v="Zufrieden"/>
    <x v="0"/>
    <x v="0"/>
    <x v="0"/>
  </r>
  <r>
    <s v="F/P/K"/>
    <x v="96"/>
    <x v="0"/>
    <x v="6"/>
    <x v="96"/>
    <x v="94"/>
    <x v="0"/>
    <x v="0"/>
    <x v="0"/>
    <s v="Zufrieden"/>
    <x v="0"/>
    <x v="0"/>
    <x v="0"/>
  </r>
  <r>
    <s v="F/P/K"/>
    <x v="97"/>
    <x v="1"/>
    <x v="7"/>
    <x v="97"/>
    <x v="95"/>
    <x v="1"/>
    <x v="0"/>
    <x v="0"/>
    <s v="Zufrieden"/>
    <x v="0"/>
    <x v="0"/>
    <x v="0"/>
  </r>
  <r>
    <s v="F/P/K"/>
    <x v="98"/>
    <x v="2"/>
    <x v="8"/>
    <x v="7"/>
    <x v="96"/>
    <x v="2"/>
    <x v="0"/>
    <x v="0"/>
    <s v="Zufrieden"/>
    <x v="0"/>
    <x v="0"/>
    <x v="0"/>
  </r>
  <r>
    <s v="F/P/K"/>
    <x v="99"/>
    <x v="3"/>
    <x v="9"/>
    <x v="98"/>
    <x v="97"/>
    <x v="3"/>
    <x v="0"/>
    <x v="0"/>
    <s v="Sehr zufrieden"/>
    <x v="0"/>
    <x v="0"/>
    <x v="0"/>
  </r>
  <r>
    <s v="F/P/K"/>
    <x v="100"/>
    <x v="4"/>
    <x v="0"/>
    <x v="99"/>
    <x v="98"/>
    <x v="4"/>
    <x v="0"/>
    <x v="0"/>
    <s v="Zufrieden"/>
    <x v="0"/>
    <x v="0"/>
    <x v="0"/>
  </r>
  <r>
    <s v="F/P/K"/>
    <x v="101"/>
    <x v="5"/>
    <x v="1"/>
    <x v="100"/>
    <x v="99"/>
    <x v="5"/>
    <x v="0"/>
    <x v="0"/>
    <s v="Zufrieden"/>
    <x v="0"/>
    <x v="0"/>
    <x v="0"/>
  </r>
  <r>
    <s v="F/P/K"/>
    <x v="102"/>
    <x v="0"/>
    <x v="2"/>
    <x v="101"/>
    <x v="100"/>
    <x v="0"/>
    <x v="1"/>
    <x v="0"/>
    <s v="Zufrieden"/>
    <x v="0"/>
    <x v="0"/>
    <x v="0"/>
  </r>
  <r>
    <s v="F/P/K"/>
    <x v="103"/>
    <x v="1"/>
    <x v="3"/>
    <x v="102"/>
    <x v="101"/>
    <x v="1"/>
    <x v="1"/>
    <x v="0"/>
    <s v="Zufrieden"/>
    <x v="0"/>
    <x v="0"/>
    <x v="0"/>
  </r>
  <r>
    <s v="F/P/K"/>
    <x v="104"/>
    <x v="2"/>
    <x v="4"/>
    <x v="103"/>
    <x v="102"/>
    <x v="2"/>
    <x v="1"/>
    <x v="0"/>
    <s v="Zufrieden"/>
    <x v="0"/>
    <x v="0"/>
    <x v="0"/>
  </r>
  <r>
    <s v="F/P/K"/>
    <x v="105"/>
    <x v="3"/>
    <x v="5"/>
    <x v="104"/>
    <x v="103"/>
    <x v="3"/>
    <x v="1"/>
    <x v="0"/>
    <s v="Zufrieden"/>
    <x v="0"/>
    <x v="0"/>
    <x v="0"/>
  </r>
  <r>
    <s v="F/P/K"/>
    <x v="106"/>
    <x v="4"/>
    <x v="6"/>
    <x v="105"/>
    <x v="104"/>
    <x v="4"/>
    <x v="1"/>
    <x v="0"/>
    <s v="Zufrieden"/>
    <x v="0"/>
    <x v="0"/>
    <x v="0"/>
  </r>
  <r>
    <s v="F/P/K"/>
    <x v="107"/>
    <x v="5"/>
    <x v="7"/>
    <x v="106"/>
    <x v="105"/>
    <x v="5"/>
    <x v="1"/>
    <x v="0"/>
    <s v="Zufrieden"/>
    <x v="0"/>
    <x v="0"/>
    <x v="0"/>
  </r>
  <r>
    <s v="F/P/K"/>
    <x v="108"/>
    <x v="0"/>
    <x v="8"/>
    <x v="107"/>
    <x v="106"/>
    <x v="0"/>
    <x v="1"/>
    <x v="0"/>
    <s v="Zufrieden"/>
    <x v="0"/>
    <x v="0"/>
    <x v="0"/>
  </r>
  <r>
    <s v="F/P/K"/>
    <x v="109"/>
    <x v="1"/>
    <x v="9"/>
    <x v="108"/>
    <x v="107"/>
    <x v="1"/>
    <x v="1"/>
    <x v="0"/>
    <s v="Zufrieden"/>
    <x v="0"/>
    <x v="0"/>
    <x v="0"/>
  </r>
  <r>
    <s v="F/P/K"/>
    <x v="110"/>
    <x v="2"/>
    <x v="0"/>
    <x v="109"/>
    <x v="108"/>
    <x v="2"/>
    <x v="1"/>
    <x v="0"/>
    <s v="Zufrieden"/>
    <x v="0"/>
    <x v="0"/>
    <x v="0"/>
  </r>
  <r>
    <s v="F/P/K"/>
    <x v="111"/>
    <x v="3"/>
    <x v="1"/>
    <x v="110"/>
    <x v="109"/>
    <x v="3"/>
    <x v="1"/>
    <x v="0"/>
    <s v="Zufrieden"/>
    <x v="0"/>
    <x v="0"/>
    <x v="0"/>
  </r>
  <r>
    <s v="F/P/K"/>
    <x v="112"/>
    <x v="4"/>
    <x v="2"/>
    <x v="111"/>
    <x v="110"/>
    <x v="4"/>
    <x v="1"/>
    <x v="0"/>
    <s v="Neutral"/>
    <x v="0"/>
    <x v="0"/>
    <x v="0"/>
  </r>
  <r>
    <s v="F/P/K"/>
    <x v="113"/>
    <x v="5"/>
    <x v="3"/>
    <x v="112"/>
    <x v="111"/>
    <x v="5"/>
    <x v="1"/>
    <x v="0"/>
    <s v="Neutral"/>
    <x v="0"/>
    <x v="0"/>
    <x v="0"/>
  </r>
  <r>
    <s v="F/P/K"/>
    <x v="114"/>
    <x v="0"/>
    <x v="4"/>
    <x v="113"/>
    <x v="112"/>
    <x v="0"/>
    <x v="1"/>
    <x v="0"/>
    <s v="Neutral"/>
    <x v="0"/>
    <x v="0"/>
    <x v="0"/>
  </r>
  <r>
    <s v="F/P/K"/>
    <x v="115"/>
    <x v="1"/>
    <x v="5"/>
    <x v="114"/>
    <x v="113"/>
    <x v="1"/>
    <x v="1"/>
    <x v="0"/>
    <s v="Zufrieden"/>
    <x v="0"/>
    <x v="0"/>
    <x v="0"/>
  </r>
  <r>
    <s v="F/P/K"/>
    <x v="116"/>
    <x v="2"/>
    <x v="6"/>
    <x v="115"/>
    <x v="114"/>
    <x v="2"/>
    <x v="1"/>
    <x v="0"/>
    <s v="Neutral"/>
    <x v="0"/>
    <x v="0"/>
    <x v="0"/>
  </r>
  <r>
    <s v="F/P/K"/>
    <x v="117"/>
    <x v="3"/>
    <x v="7"/>
    <x v="116"/>
    <x v="115"/>
    <x v="3"/>
    <x v="1"/>
    <x v="0"/>
    <s v="Neutral"/>
    <x v="0"/>
    <x v="0"/>
    <x v="0"/>
  </r>
  <r>
    <s v="F/P/K"/>
    <x v="118"/>
    <x v="4"/>
    <x v="8"/>
    <x v="117"/>
    <x v="116"/>
    <x v="4"/>
    <x v="1"/>
    <x v="0"/>
    <s v="Neutral"/>
    <x v="0"/>
    <x v="0"/>
    <x v="0"/>
  </r>
  <r>
    <s v="F/P/K"/>
    <x v="119"/>
    <x v="5"/>
    <x v="9"/>
    <x v="118"/>
    <x v="117"/>
    <x v="5"/>
    <x v="0"/>
    <x v="0"/>
    <s v="Zufrieden"/>
    <x v="0"/>
    <x v="0"/>
    <x v="0"/>
  </r>
  <r>
    <s v="F/P/K"/>
    <x v="120"/>
    <x v="0"/>
    <x v="0"/>
    <x v="119"/>
    <x v="118"/>
    <x v="0"/>
    <x v="0"/>
    <x v="0"/>
    <s v="Neutral"/>
    <x v="0"/>
    <x v="0"/>
    <x v="0"/>
  </r>
  <r>
    <s v="F/P/K"/>
    <x v="121"/>
    <x v="1"/>
    <x v="1"/>
    <x v="120"/>
    <x v="119"/>
    <x v="1"/>
    <x v="0"/>
    <x v="0"/>
    <s v="Neutral"/>
    <x v="0"/>
    <x v="0"/>
    <x v="0"/>
  </r>
  <r>
    <s v="F/P/K"/>
    <x v="122"/>
    <x v="2"/>
    <x v="2"/>
    <x v="121"/>
    <x v="120"/>
    <x v="2"/>
    <x v="0"/>
    <x v="0"/>
    <s v="Neutral"/>
    <x v="0"/>
    <x v="0"/>
    <x v="0"/>
  </r>
  <r>
    <s v="F/P/K"/>
    <x v="123"/>
    <x v="3"/>
    <x v="3"/>
    <x v="122"/>
    <x v="121"/>
    <x v="3"/>
    <x v="0"/>
    <x v="0"/>
    <s v="Zufrieden"/>
    <x v="0"/>
    <x v="0"/>
    <x v="0"/>
  </r>
  <r>
    <s v="F/P/K"/>
    <x v="124"/>
    <x v="4"/>
    <x v="4"/>
    <x v="123"/>
    <x v="122"/>
    <x v="4"/>
    <x v="0"/>
    <x v="0"/>
    <s v="Zufrieden"/>
    <x v="0"/>
    <x v="0"/>
    <x v="0"/>
  </r>
  <r>
    <s v="F/P/K"/>
    <x v="125"/>
    <x v="5"/>
    <x v="5"/>
    <x v="124"/>
    <x v="123"/>
    <x v="5"/>
    <x v="0"/>
    <x v="0"/>
    <s v="Zufrieden"/>
    <x v="0"/>
    <x v="0"/>
    <x v="0"/>
  </r>
  <r>
    <s v="F/P/K"/>
    <x v="126"/>
    <x v="0"/>
    <x v="6"/>
    <x v="125"/>
    <x v="124"/>
    <x v="0"/>
    <x v="0"/>
    <x v="1"/>
    <s v="Zufrieden"/>
    <x v="0"/>
    <x v="0"/>
    <x v="0"/>
  </r>
  <r>
    <s v="F/P/K"/>
    <x v="127"/>
    <x v="1"/>
    <x v="7"/>
    <x v="126"/>
    <x v="125"/>
    <x v="1"/>
    <x v="1"/>
    <x v="0"/>
    <s v="Zufrieden"/>
    <x v="0"/>
    <x v="0"/>
    <x v="0"/>
  </r>
  <r>
    <s v="F/P/K"/>
    <x v="128"/>
    <x v="2"/>
    <x v="8"/>
    <x v="127"/>
    <x v="126"/>
    <x v="2"/>
    <x v="1"/>
    <x v="1"/>
    <s v="Zufrieden"/>
    <x v="0"/>
    <x v="0"/>
    <x v="0"/>
  </r>
  <r>
    <s v="F/P/K"/>
    <x v="129"/>
    <x v="3"/>
    <x v="9"/>
    <x v="128"/>
    <x v="127"/>
    <x v="3"/>
    <x v="1"/>
    <x v="0"/>
    <s v="Zufrieden"/>
    <x v="0"/>
    <x v="0"/>
    <x v="0"/>
  </r>
  <r>
    <s v="F/P/K"/>
    <x v="130"/>
    <x v="4"/>
    <x v="0"/>
    <x v="129"/>
    <x v="128"/>
    <x v="4"/>
    <x v="1"/>
    <x v="0"/>
    <s v="Zufrieden"/>
    <x v="0"/>
    <x v="0"/>
    <x v="0"/>
  </r>
  <r>
    <s v="F/P/K"/>
    <x v="131"/>
    <x v="5"/>
    <x v="1"/>
    <x v="130"/>
    <x v="129"/>
    <x v="5"/>
    <x v="1"/>
    <x v="0"/>
    <s v="Zufrieden"/>
    <x v="0"/>
    <x v="0"/>
    <x v="0"/>
  </r>
  <r>
    <s v="F/P/K"/>
    <x v="132"/>
    <x v="0"/>
    <x v="2"/>
    <x v="131"/>
    <x v="130"/>
    <x v="0"/>
    <x v="1"/>
    <x v="0"/>
    <s v="Neutral"/>
    <x v="0"/>
    <x v="0"/>
    <x v="0"/>
  </r>
  <r>
    <s v="F/P/K"/>
    <x v="133"/>
    <x v="1"/>
    <x v="3"/>
    <x v="132"/>
    <x v="131"/>
    <x v="1"/>
    <x v="1"/>
    <x v="1"/>
    <s v="Zufrieden"/>
    <x v="0"/>
    <x v="0"/>
    <x v="0"/>
  </r>
  <r>
    <s v="F/P/K"/>
    <x v="134"/>
    <x v="2"/>
    <x v="4"/>
    <x v="133"/>
    <x v="132"/>
    <x v="2"/>
    <x v="1"/>
    <x v="0"/>
    <s v="Zufrieden"/>
    <x v="0"/>
    <x v="0"/>
    <x v="0"/>
  </r>
  <r>
    <s v="F/P/K"/>
    <x v="135"/>
    <x v="3"/>
    <x v="5"/>
    <x v="134"/>
    <x v="133"/>
    <x v="3"/>
    <x v="1"/>
    <x v="0"/>
    <s v="Zufrieden"/>
    <x v="0"/>
    <x v="0"/>
    <x v="0"/>
  </r>
  <r>
    <s v="F/P/K"/>
    <x v="136"/>
    <x v="4"/>
    <x v="6"/>
    <x v="135"/>
    <x v="134"/>
    <x v="4"/>
    <x v="1"/>
    <x v="0"/>
    <s v="Neutral"/>
    <x v="0"/>
    <x v="0"/>
    <x v="0"/>
  </r>
  <r>
    <s v="F/P/K"/>
    <x v="137"/>
    <x v="5"/>
    <x v="7"/>
    <x v="136"/>
    <x v="135"/>
    <x v="5"/>
    <x v="1"/>
    <x v="0"/>
    <s v="Neutral"/>
    <x v="0"/>
    <x v="0"/>
    <x v="0"/>
  </r>
  <r>
    <s v="F/P/K"/>
    <x v="138"/>
    <x v="0"/>
    <x v="8"/>
    <x v="137"/>
    <x v="136"/>
    <x v="0"/>
    <x v="1"/>
    <x v="1"/>
    <s v="Neutral"/>
    <x v="0"/>
    <x v="0"/>
    <x v="0"/>
  </r>
  <r>
    <s v="F/P/K"/>
    <x v="139"/>
    <x v="1"/>
    <x v="9"/>
    <x v="138"/>
    <x v="137"/>
    <x v="1"/>
    <x v="1"/>
    <x v="0"/>
    <s v="Neutral"/>
    <x v="0"/>
    <x v="0"/>
    <x v="0"/>
  </r>
  <r>
    <s v="F/P/K"/>
    <x v="140"/>
    <x v="2"/>
    <x v="0"/>
    <x v="139"/>
    <x v="138"/>
    <x v="2"/>
    <x v="1"/>
    <x v="0"/>
    <s v="Neutral"/>
    <x v="0"/>
    <x v="0"/>
    <x v="0"/>
  </r>
  <r>
    <s v="F/P/K"/>
    <x v="141"/>
    <x v="3"/>
    <x v="1"/>
    <x v="140"/>
    <x v="139"/>
    <x v="3"/>
    <x v="0"/>
    <x v="0"/>
    <s v="Neutral"/>
    <x v="0"/>
    <x v="0"/>
    <x v="0"/>
  </r>
  <r>
    <s v="F/P/K"/>
    <x v="142"/>
    <x v="4"/>
    <x v="2"/>
    <x v="141"/>
    <x v="140"/>
    <x v="4"/>
    <x v="0"/>
    <x v="0"/>
    <s v="Zufrieden"/>
    <x v="0"/>
    <x v="0"/>
    <x v="0"/>
  </r>
  <r>
    <s v="F/P/K"/>
    <x v="143"/>
    <x v="5"/>
    <x v="3"/>
    <x v="142"/>
    <x v="141"/>
    <x v="5"/>
    <x v="0"/>
    <x v="0"/>
    <s v="Zufrieden"/>
    <x v="0"/>
    <x v="0"/>
    <x v="0"/>
  </r>
  <r>
    <s v="F/P/K"/>
    <x v="144"/>
    <x v="0"/>
    <x v="4"/>
    <x v="143"/>
    <x v="67"/>
    <x v="0"/>
    <x v="0"/>
    <x v="0"/>
    <s v="Zufrieden"/>
    <x v="0"/>
    <x v="0"/>
    <x v="0"/>
  </r>
  <r>
    <s v="F/P/K"/>
    <x v="145"/>
    <x v="1"/>
    <x v="5"/>
    <x v="144"/>
    <x v="142"/>
    <x v="1"/>
    <x v="0"/>
    <x v="0"/>
    <s v="Zufrieden"/>
    <x v="0"/>
    <x v="0"/>
    <x v="0"/>
  </r>
  <r>
    <s v="F/P/K"/>
    <x v="146"/>
    <x v="2"/>
    <x v="6"/>
    <x v="145"/>
    <x v="143"/>
    <x v="2"/>
    <x v="0"/>
    <x v="0"/>
    <s v="Zufrieden"/>
    <x v="0"/>
    <x v="0"/>
    <x v="0"/>
  </r>
  <r>
    <s v="F/P/K"/>
    <x v="147"/>
    <x v="3"/>
    <x v="7"/>
    <x v="146"/>
    <x v="144"/>
    <x v="3"/>
    <x v="0"/>
    <x v="0"/>
    <s v="Zufrieden"/>
    <x v="0"/>
    <x v="0"/>
    <x v="0"/>
  </r>
  <r>
    <s v="F/P/K"/>
    <x v="148"/>
    <x v="4"/>
    <x v="8"/>
    <x v="147"/>
    <x v="145"/>
    <x v="4"/>
    <x v="1"/>
    <x v="0"/>
    <s v="Neutral"/>
    <x v="0"/>
    <x v="0"/>
    <x v="0"/>
  </r>
  <r>
    <s v="F/P/K"/>
    <x v="149"/>
    <x v="5"/>
    <x v="9"/>
    <x v="148"/>
    <x v="146"/>
    <x v="5"/>
    <x v="1"/>
    <x v="0"/>
    <s v="Neutral"/>
    <x v="0"/>
    <x v="0"/>
    <x v="0"/>
  </r>
  <r>
    <s v="F/P/K"/>
    <x v="150"/>
    <x v="0"/>
    <x v="0"/>
    <x v="149"/>
    <x v="147"/>
    <x v="0"/>
    <x v="1"/>
    <x v="0"/>
    <s v="Neutral"/>
    <x v="0"/>
    <x v="0"/>
    <x v="0"/>
  </r>
  <r>
    <s v="F/P/K"/>
    <x v="151"/>
    <x v="1"/>
    <x v="1"/>
    <x v="150"/>
    <x v="148"/>
    <x v="1"/>
    <x v="1"/>
    <x v="0"/>
    <s v="Neutral"/>
    <x v="0"/>
    <x v="0"/>
    <x v="0"/>
  </r>
  <r>
    <s v="F/P/K"/>
    <x v="152"/>
    <x v="2"/>
    <x v="2"/>
    <x v="151"/>
    <x v="149"/>
    <x v="2"/>
    <x v="1"/>
    <x v="0"/>
    <s v="Zufrieden"/>
    <x v="0"/>
    <x v="0"/>
    <x v="0"/>
  </r>
  <r>
    <s v="F/P/K"/>
    <x v="153"/>
    <x v="3"/>
    <x v="3"/>
    <x v="152"/>
    <x v="150"/>
    <x v="3"/>
    <x v="1"/>
    <x v="0"/>
    <s v="Zufrieden"/>
    <x v="0"/>
    <x v="0"/>
    <x v="0"/>
  </r>
  <r>
    <s v="F/P/K"/>
    <x v="154"/>
    <x v="4"/>
    <x v="4"/>
    <x v="153"/>
    <x v="151"/>
    <x v="4"/>
    <x v="1"/>
    <x v="0"/>
    <s v="Zufrieden"/>
    <x v="0"/>
    <x v="0"/>
    <x v="0"/>
  </r>
  <r>
    <s v="F/P/K"/>
    <x v="155"/>
    <x v="5"/>
    <x v="5"/>
    <x v="154"/>
    <x v="152"/>
    <x v="5"/>
    <x v="1"/>
    <x v="0"/>
    <s v="Zufrieden"/>
    <x v="0"/>
    <x v="0"/>
    <x v="0"/>
  </r>
  <r>
    <s v="F/P/K"/>
    <x v="156"/>
    <x v="0"/>
    <x v="6"/>
    <x v="155"/>
    <x v="153"/>
    <x v="0"/>
    <x v="1"/>
    <x v="0"/>
    <s v="Zufrieden"/>
    <x v="0"/>
    <x v="0"/>
    <x v="0"/>
  </r>
  <r>
    <s v="F/P/K"/>
    <x v="157"/>
    <x v="1"/>
    <x v="7"/>
    <x v="156"/>
    <x v="154"/>
    <x v="1"/>
    <x v="1"/>
    <x v="0"/>
    <s v="Zufrieden"/>
    <x v="0"/>
    <x v="0"/>
    <x v="0"/>
  </r>
  <r>
    <s v="F/P/K"/>
    <x v="158"/>
    <x v="2"/>
    <x v="8"/>
    <x v="157"/>
    <x v="155"/>
    <x v="2"/>
    <x v="1"/>
    <x v="0"/>
    <s v="Neutral"/>
    <x v="0"/>
    <x v="0"/>
    <x v="0"/>
  </r>
  <r>
    <s v="F/P/K"/>
    <x v="159"/>
    <x v="3"/>
    <x v="9"/>
    <x v="158"/>
    <x v="156"/>
    <x v="3"/>
    <x v="1"/>
    <x v="0"/>
    <s v="Neutral"/>
    <x v="0"/>
    <x v="0"/>
    <x v="0"/>
  </r>
  <r>
    <s v="F/P/K"/>
    <x v="160"/>
    <x v="4"/>
    <x v="0"/>
    <x v="159"/>
    <x v="157"/>
    <x v="4"/>
    <x v="1"/>
    <x v="0"/>
    <s v="Neutral"/>
    <x v="0"/>
    <x v="0"/>
    <x v="0"/>
  </r>
  <r>
    <s v="F/P/K"/>
    <x v="161"/>
    <x v="5"/>
    <x v="1"/>
    <x v="160"/>
    <x v="158"/>
    <x v="5"/>
    <x v="1"/>
    <x v="0"/>
    <s v="Neutral"/>
    <x v="0"/>
    <x v="0"/>
    <x v="0"/>
  </r>
  <r>
    <s v="F/P/K"/>
    <x v="162"/>
    <x v="0"/>
    <x v="2"/>
    <x v="161"/>
    <x v="159"/>
    <x v="0"/>
    <x v="1"/>
    <x v="0"/>
    <s v="Neutral"/>
    <x v="0"/>
    <x v="0"/>
    <x v="0"/>
  </r>
  <r>
    <s v="F/P/K"/>
    <x v="163"/>
    <x v="1"/>
    <x v="3"/>
    <x v="162"/>
    <x v="160"/>
    <x v="1"/>
    <x v="1"/>
    <x v="0"/>
    <s v="Neutral"/>
    <x v="0"/>
    <x v="0"/>
    <x v="0"/>
  </r>
  <r>
    <s v="F/P/K"/>
    <x v="164"/>
    <x v="2"/>
    <x v="4"/>
    <x v="163"/>
    <x v="161"/>
    <x v="2"/>
    <x v="1"/>
    <x v="0"/>
    <s v="Neutral"/>
    <x v="0"/>
    <x v="0"/>
    <x v="0"/>
  </r>
  <r>
    <s v="F/P/K"/>
    <x v="165"/>
    <x v="3"/>
    <x v="5"/>
    <x v="164"/>
    <x v="162"/>
    <x v="3"/>
    <x v="0"/>
    <x v="0"/>
    <s v="Neutral"/>
    <x v="0"/>
    <x v="0"/>
    <x v="0"/>
  </r>
  <r>
    <s v="F/P/K"/>
    <x v="166"/>
    <x v="4"/>
    <x v="6"/>
    <x v="165"/>
    <x v="163"/>
    <x v="4"/>
    <x v="0"/>
    <x v="0"/>
    <s v="Neutral"/>
    <x v="0"/>
    <x v="0"/>
    <x v="0"/>
  </r>
  <r>
    <s v="F/P/K"/>
    <x v="167"/>
    <x v="5"/>
    <x v="7"/>
    <x v="166"/>
    <x v="164"/>
    <x v="5"/>
    <x v="0"/>
    <x v="0"/>
    <s v="Neutral"/>
    <x v="0"/>
    <x v="0"/>
    <x v="0"/>
  </r>
  <r>
    <s v="F/P/K"/>
    <x v="168"/>
    <x v="0"/>
    <x v="8"/>
    <x v="167"/>
    <x v="165"/>
    <x v="0"/>
    <x v="0"/>
    <x v="0"/>
    <s v="Zufrieden"/>
    <x v="0"/>
    <x v="0"/>
    <x v="0"/>
  </r>
  <r>
    <s v="F/P/K"/>
    <x v="169"/>
    <x v="1"/>
    <x v="9"/>
    <x v="168"/>
    <x v="166"/>
    <x v="1"/>
    <x v="0"/>
    <x v="0"/>
    <s v="Zufrieden"/>
    <x v="0"/>
    <x v="0"/>
    <x v="0"/>
  </r>
  <r>
    <s v="F/P/K"/>
    <x v="170"/>
    <x v="2"/>
    <x v="0"/>
    <x v="169"/>
    <x v="167"/>
    <x v="2"/>
    <x v="0"/>
    <x v="0"/>
    <s v="Zufrieden"/>
    <x v="0"/>
    <x v="0"/>
    <x v="0"/>
  </r>
  <r>
    <s v="F/P/K"/>
    <x v="171"/>
    <x v="3"/>
    <x v="1"/>
    <x v="170"/>
    <x v="168"/>
    <x v="3"/>
    <x v="0"/>
    <x v="0"/>
    <s v="Zufrieden"/>
    <x v="0"/>
    <x v="0"/>
    <x v="0"/>
  </r>
  <r>
    <s v="F/P/K"/>
    <x v="172"/>
    <x v="4"/>
    <x v="2"/>
    <x v="171"/>
    <x v="169"/>
    <x v="4"/>
    <x v="0"/>
    <x v="0"/>
    <s v="Zufrieden"/>
    <x v="0"/>
    <x v="0"/>
    <x v="0"/>
  </r>
  <r>
    <s v="F/P/K"/>
    <x v="173"/>
    <x v="5"/>
    <x v="3"/>
    <x v="172"/>
    <x v="170"/>
    <x v="5"/>
    <x v="1"/>
    <x v="0"/>
    <s v="Zufrieden"/>
    <x v="0"/>
    <x v="0"/>
    <x v="0"/>
  </r>
  <r>
    <s v="F/P/K"/>
    <x v="174"/>
    <x v="0"/>
    <x v="4"/>
    <x v="173"/>
    <x v="171"/>
    <x v="0"/>
    <x v="1"/>
    <x v="0"/>
    <s v="Neutral"/>
    <x v="0"/>
    <x v="0"/>
    <x v="0"/>
  </r>
  <r>
    <s v="F/P/K"/>
    <x v="175"/>
    <x v="1"/>
    <x v="5"/>
    <x v="174"/>
    <x v="172"/>
    <x v="1"/>
    <x v="1"/>
    <x v="0"/>
    <s v="Neutral"/>
    <x v="0"/>
    <x v="0"/>
    <x v="0"/>
  </r>
  <r>
    <s v="F/P/K"/>
    <x v="176"/>
    <x v="2"/>
    <x v="6"/>
    <x v="175"/>
    <x v="173"/>
    <x v="2"/>
    <x v="1"/>
    <x v="0"/>
    <s v="Neutral"/>
    <x v="0"/>
    <x v="0"/>
    <x v="0"/>
  </r>
  <r>
    <s v="F/P/K"/>
    <x v="177"/>
    <x v="3"/>
    <x v="7"/>
    <x v="176"/>
    <x v="174"/>
    <x v="3"/>
    <x v="1"/>
    <x v="1"/>
    <s v="Neutral"/>
    <x v="0"/>
    <x v="0"/>
    <x v="0"/>
  </r>
  <r>
    <s v="F/P/K"/>
    <x v="178"/>
    <x v="4"/>
    <x v="8"/>
    <x v="177"/>
    <x v="175"/>
    <x v="4"/>
    <x v="1"/>
    <x v="0"/>
    <s v="Zufrieden"/>
    <x v="0"/>
    <x v="0"/>
    <x v="0"/>
  </r>
  <r>
    <s v="F/P/K"/>
    <x v="179"/>
    <x v="5"/>
    <x v="9"/>
    <x v="178"/>
    <x v="176"/>
    <x v="5"/>
    <x v="1"/>
    <x v="0"/>
    <s v="Neutral"/>
    <x v="0"/>
    <x v="0"/>
    <x v="0"/>
  </r>
  <r>
    <s v="F/P/K"/>
    <x v="180"/>
    <x v="0"/>
    <x v="0"/>
    <x v="179"/>
    <x v="177"/>
    <x v="0"/>
    <x v="1"/>
    <x v="0"/>
    <s v="Neutral"/>
    <x v="0"/>
    <x v="0"/>
    <x v="0"/>
  </r>
  <r>
    <s v="F/P/K"/>
    <x v="181"/>
    <x v="1"/>
    <x v="1"/>
    <x v="180"/>
    <x v="178"/>
    <x v="1"/>
    <x v="1"/>
    <x v="0"/>
    <s v="Neutral"/>
    <x v="0"/>
    <x v="0"/>
    <x v="0"/>
  </r>
  <r>
    <s v="F/P/K"/>
    <x v="182"/>
    <x v="2"/>
    <x v="2"/>
    <x v="181"/>
    <x v="179"/>
    <x v="2"/>
    <x v="1"/>
    <x v="1"/>
    <s v="Zufrieden"/>
    <x v="0"/>
    <x v="0"/>
    <x v="0"/>
  </r>
  <r>
    <s v="F/P/K"/>
    <x v="183"/>
    <x v="3"/>
    <x v="3"/>
    <x v="182"/>
    <x v="180"/>
    <x v="3"/>
    <x v="1"/>
    <x v="0"/>
    <s v="Neutral"/>
    <x v="0"/>
    <x v="0"/>
    <x v="0"/>
  </r>
  <r>
    <s v="F/P/K"/>
    <x v="184"/>
    <x v="4"/>
    <x v="4"/>
    <x v="183"/>
    <x v="181"/>
    <x v="4"/>
    <x v="1"/>
    <x v="0"/>
    <s v="Neutral"/>
    <x v="0"/>
    <x v="0"/>
    <x v="0"/>
  </r>
  <r>
    <s v="F/P/K"/>
    <x v="185"/>
    <x v="5"/>
    <x v="5"/>
    <x v="184"/>
    <x v="182"/>
    <x v="5"/>
    <x v="1"/>
    <x v="0"/>
    <s v="Neutral"/>
    <x v="0"/>
    <x v="0"/>
    <x v="0"/>
  </r>
  <r>
    <s v="F/P/K"/>
    <x v="186"/>
    <x v="0"/>
    <x v="6"/>
    <x v="185"/>
    <x v="183"/>
    <x v="0"/>
    <x v="1"/>
    <x v="0"/>
    <s v="Neutral"/>
    <x v="0"/>
    <x v="0"/>
    <x v="0"/>
  </r>
  <r>
    <s v="F/P/K"/>
    <x v="187"/>
    <x v="1"/>
    <x v="7"/>
    <x v="186"/>
    <x v="184"/>
    <x v="1"/>
    <x v="1"/>
    <x v="1"/>
    <s v="Neutral"/>
    <x v="0"/>
    <x v="0"/>
    <x v="0"/>
  </r>
  <r>
    <s v="F/P/K"/>
    <x v="188"/>
    <x v="2"/>
    <x v="8"/>
    <x v="187"/>
    <x v="185"/>
    <x v="2"/>
    <x v="1"/>
    <x v="0"/>
    <s v="Neutral"/>
    <x v="0"/>
    <x v="0"/>
    <x v="0"/>
  </r>
  <r>
    <s v="F/P/K"/>
    <x v="189"/>
    <x v="3"/>
    <x v="9"/>
    <x v="188"/>
    <x v="186"/>
    <x v="3"/>
    <x v="1"/>
    <x v="0"/>
    <s v="Zufrieden"/>
    <x v="0"/>
    <x v="0"/>
    <x v="0"/>
  </r>
  <r>
    <s v="F/P/K"/>
    <x v="190"/>
    <x v="4"/>
    <x v="0"/>
    <x v="189"/>
    <x v="187"/>
    <x v="4"/>
    <x v="1"/>
    <x v="0"/>
    <s v="Zufrieden"/>
    <x v="0"/>
    <x v="0"/>
    <x v="0"/>
  </r>
  <r>
    <s v="F/P/K"/>
    <x v="191"/>
    <x v="5"/>
    <x v="1"/>
    <x v="190"/>
    <x v="188"/>
    <x v="5"/>
    <x v="1"/>
    <x v="0"/>
    <s v="Zufrieden"/>
    <x v="0"/>
    <x v="0"/>
    <x v="0"/>
  </r>
  <r>
    <s v="F/P/K"/>
    <x v="192"/>
    <x v="0"/>
    <x v="2"/>
    <x v="191"/>
    <x v="189"/>
    <x v="0"/>
    <x v="1"/>
    <x v="0"/>
    <s v="Zufrieden"/>
    <x v="0"/>
    <x v="0"/>
    <x v="0"/>
  </r>
  <r>
    <s v="F/P/K"/>
    <x v="193"/>
    <x v="1"/>
    <x v="3"/>
    <x v="192"/>
    <x v="190"/>
    <x v="1"/>
    <x v="1"/>
    <x v="0"/>
    <s v="Zufrieden"/>
    <x v="0"/>
    <x v="0"/>
    <x v="0"/>
  </r>
  <r>
    <s v="F/P/K"/>
    <x v="194"/>
    <x v="2"/>
    <x v="4"/>
    <x v="193"/>
    <x v="191"/>
    <x v="2"/>
    <x v="1"/>
    <x v="0"/>
    <s v="Zufrieden"/>
    <x v="0"/>
    <x v="0"/>
    <x v="0"/>
  </r>
  <r>
    <s v="F/P/K"/>
    <x v="195"/>
    <x v="3"/>
    <x v="5"/>
    <x v="194"/>
    <x v="192"/>
    <x v="3"/>
    <x v="1"/>
    <x v="0"/>
    <s v="Zufrieden"/>
    <x v="0"/>
    <x v="0"/>
    <x v="0"/>
  </r>
  <r>
    <s v="F/P/K"/>
    <x v="196"/>
    <x v="4"/>
    <x v="6"/>
    <x v="195"/>
    <x v="193"/>
    <x v="4"/>
    <x v="1"/>
    <x v="0"/>
    <s v="Zufrieden"/>
    <x v="0"/>
    <x v="0"/>
    <x v="0"/>
  </r>
  <r>
    <s v="F/P/K"/>
    <x v="197"/>
    <x v="5"/>
    <x v="7"/>
    <x v="134"/>
    <x v="194"/>
    <x v="5"/>
    <x v="1"/>
    <x v="0"/>
    <s v="Zufrieden"/>
    <x v="0"/>
    <x v="0"/>
    <x v="0"/>
  </r>
  <r>
    <s v="F/P/K"/>
    <x v="198"/>
    <x v="0"/>
    <x v="8"/>
    <x v="196"/>
    <x v="195"/>
    <x v="0"/>
    <x v="1"/>
    <x v="0"/>
    <s v="Zufrieden"/>
    <x v="0"/>
    <x v="0"/>
    <x v="0"/>
  </r>
  <r>
    <s v="F/P/K"/>
    <x v="199"/>
    <x v="1"/>
    <x v="9"/>
    <x v="197"/>
    <x v="196"/>
    <x v="1"/>
    <x v="1"/>
    <x v="0"/>
    <s v="Zufrieden"/>
    <x v="0"/>
    <x v="0"/>
    <x v="0"/>
  </r>
  <r>
    <s v="F/P/K"/>
    <x v="200"/>
    <x v="2"/>
    <x v="0"/>
    <x v="198"/>
    <x v="197"/>
    <x v="2"/>
    <x v="1"/>
    <x v="0"/>
    <s v="Zufrieden"/>
    <x v="0"/>
    <x v="0"/>
    <x v="0"/>
  </r>
  <r>
    <s v="F/P/K"/>
    <x v="201"/>
    <x v="3"/>
    <x v="1"/>
    <x v="199"/>
    <x v="198"/>
    <x v="3"/>
    <x v="1"/>
    <x v="0"/>
    <s v="Zufrieden"/>
    <x v="0"/>
    <x v="0"/>
    <x v="0"/>
  </r>
  <r>
    <s v="F/P/K"/>
    <x v="202"/>
    <x v="4"/>
    <x v="2"/>
    <x v="200"/>
    <x v="199"/>
    <x v="4"/>
    <x v="1"/>
    <x v="0"/>
    <s v="Zufrieden"/>
    <x v="0"/>
    <x v="0"/>
    <x v="0"/>
  </r>
  <r>
    <s v="F/P/K"/>
    <x v="203"/>
    <x v="5"/>
    <x v="3"/>
    <x v="201"/>
    <x v="200"/>
    <x v="5"/>
    <x v="1"/>
    <x v="0"/>
    <s v="Zufrieden"/>
    <x v="0"/>
    <x v="0"/>
    <x v="0"/>
  </r>
  <r>
    <s v="F/P/K"/>
    <x v="204"/>
    <x v="0"/>
    <x v="4"/>
    <x v="202"/>
    <x v="33"/>
    <x v="0"/>
    <x v="1"/>
    <x v="0"/>
    <s v="Zufrieden"/>
    <x v="0"/>
    <x v="0"/>
    <x v="0"/>
  </r>
  <r>
    <s v="F/P/K"/>
    <x v="205"/>
    <x v="1"/>
    <x v="5"/>
    <x v="203"/>
    <x v="201"/>
    <x v="1"/>
    <x v="1"/>
    <x v="0"/>
    <s v="Zufrieden"/>
    <x v="0"/>
    <x v="0"/>
    <x v="0"/>
  </r>
  <r>
    <s v="F/P/K"/>
    <x v="206"/>
    <x v="2"/>
    <x v="6"/>
    <x v="204"/>
    <x v="59"/>
    <x v="2"/>
    <x v="1"/>
    <x v="0"/>
    <s v="Zufrieden"/>
    <x v="0"/>
    <x v="0"/>
    <x v="0"/>
  </r>
  <r>
    <s v="F/P/K"/>
    <x v="207"/>
    <x v="3"/>
    <x v="7"/>
    <x v="205"/>
    <x v="202"/>
    <x v="3"/>
    <x v="1"/>
    <x v="0"/>
    <s v="Zufrieden"/>
    <x v="0"/>
    <x v="0"/>
    <x v="0"/>
  </r>
  <r>
    <s v="F/P/K"/>
    <x v="208"/>
    <x v="4"/>
    <x v="8"/>
    <x v="206"/>
    <x v="203"/>
    <x v="4"/>
    <x v="1"/>
    <x v="0"/>
    <s v="Zufrieden"/>
    <x v="0"/>
    <x v="0"/>
    <x v="0"/>
  </r>
  <r>
    <s v="F/P/K"/>
    <x v="209"/>
    <x v="5"/>
    <x v="9"/>
    <x v="207"/>
    <x v="204"/>
    <x v="5"/>
    <x v="1"/>
    <x v="0"/>
    <s v="Zufrieden"/>
    <x v="0"/>
    <x v="0"/>
    <x v="0"/>
  </r>
  <r>
    <s v="F/P/K"/>
    <x v="210"/>
    <x v="0"/>
    <x v="0"/>
    <x v="20"/>
    <x v="205"/>
    <x v="0"/>
    <x v="1"/>
    <x v="0"/>
    <s v="Zufrieden"/>
    <x v="0"/>
    <x v="0"/>
    <x v="0"/>
  </r>
  <r>
    <s v="F/P/K"/>
    <x v="211"/>
    <x v="1"/>
    <x v="1"/>
    <x v="208"/>
    <x v="206"/>
    <x v="1"/>
    <x v="1"/>
    <x v="0"/>
    <s v="Zufrieden"/>
    <x v="0"/>
    <x v="0"/>
    <x v="0"/>
  </r>
  <r>
    <s v="F/P/K"/>
    <x v="212"/>
    <x v="2"/>
    <x v="2"/>
    <x v="209"/>
    <x v="207"/>
    <x v="2"/>
    <x v="2"/>
    <x v="2"/>
    <m/>
    <x v="0"/>
    <x v="0"/>
    <x v="0"/>
  </r>
  <r>
    <s v="F/P/K"/>
    <x v="213"/>
    <x v="3"/>
    <x v="3"/>
    <x v="209"/>
    <x v="208"/>
    <x v="3"/>
    <x v="2"/>
    <x v="2"/>
    <m/>
    <x v="0"/>
    <x v="0"/>
    <x v="0"/>
  </r>
  <r>
    <s v="F/P/K"/>
    <x v="214"/>
    <x v="4"/>
    <x v="4"/>
    <x v="209"/>
    <x v="209"/>
    <x v="4"/>
    <x v="2"/>
    <x v="2"/>
    <m/>
    <x v="0"/>
    <x v="0"/>
    <x v="0"/>
  </r>
  <r>
    <s v="F/P/K"/>
    <x v="215"/>
    <x v="5"/>
    <x v="5"/>
    <x v="209"/>
    <x v="210"/>
    <x v="5"/>
    <x v="2"/>
    <x v="2"/>
    <m/>
    <x v="0"/>
    <x v="0"/>
    <x v="0"/>
  </r>
  <r>
    <s v="F/P/K"/>
    <x v="216"/>
    <x v="0"/>
    <x v="6"/>
    <x v="209"/>
    <x v="211"/>
    <x v="0"/>
    <x v="2"/>
    <x v="2"/>
    <m/>
    <x v="0"/>
    <x v="0"/>
    <x v="0"/>
  </r>
  <r>
    <s v="F/P/K"/>
    <x v="217"/>
    <x v="1"/>
    <x v="7"/>
    <x v="209"/>
    <x v="212"/>
    <x v="1"/>
    <x v="2"/>
    <x v="2"/>
    <m/>
    <x v="0"/>
    <x v="0"/>
    <x v="0"/>
  </r>
  <r>
    <s v="F/P/K"/>
    <x v="218"/>
    <x v="2"/>
    <x v="8"/>
    <x v="209"/>
    <x v="213"/>
    <x v="2"/>
    <x v="2"/>
    <x v="2"/>
    <m/>
    <x v="0"/>
    <x v="0"/>
    <x v="0"/>
  </r>
  <r>
    <s v="F/P/K"/>
    <x v="219"/>
    <x v="3"/>
    <x v="9"/>
    <x v="209"/>
    <x v="214"/>
    <x v="3"/>
    <x v="2"/>
    <x v="2"/>
    <m/>
    <x v="0"/>
    <x v="0"/>
    <x v="0"/>
  </r>
  <r>
    <s v="F/P/K"/>
    <x v="220"/>
    <x v="4"/>
    <x v="0"/>
    <x v="209"/>
    <x v="215"/>
    <x v="4"/>
    <x v="2"/>
    <x v="2"/>
    <m/>
    <x v="0"/>
    <x v="0"/>
    <x v="0"/>
  </r>
  <r>
    <s v="F/P/K"/>
    <x v="221"/>
    <x v="5"/>
    <x v="1"/>
    <x v="209"/>
    <x v="216"/>
    <x v="5"/>
    <x v="2"/>
    <x v="2"/>
    <m/>
    <x v="0"/>
    <x v="0"/>
    <x v="0"/>
  </r>
  <r>
    <s v="F/P/K"/>
    <x v="222"/>
    <x v="0"/>
    <x v="2"/>
    <x v="209"/>
    <x v="217"/>
    <x v="0"/>
    <x v="2"/>
    <x v="2"/>
    <m/>
    <x v="0"/>
    <x v="0"/>
    <x v="0"/>
  </r>
  <r>
    <s v="F/P/K"/>
    <x v="223"/>
    <x v="1"/>
    <x v="3"/>
    <x v="209"/>
    <x v="218"/>
    <x v="1"/>
    <x v="2"/>
    <x v="2"/>
    <m/>
    <x v="0"/>
    <x v="0"/>
    <x v="0"/>
  </r>
  <r>
    <s v="F/P/K"/>
    <x v="224"/>
    <x v="2"/>
    <x v="4"/>
    <x v="209"/>
    <x v="219"/>
    <x v="2"/>
    <x v="2"/>
    <x v="2"/>
    <m/>
    <x v="0"/>
    <x v="0"/>
    <x v="0"/>
  </r>
  <r>
    <s v="F/P/K"/>
    <x v="225"/>
    <x v="3"/>
    <x v="5"/>
    <x v="209"/>
    <x v="220"/>
    <x v="3"/>
    <x v="2"/>
    <x v="2"/>
    <m/>
    <x v="0"/>
    <x v="0"/>
    <x v="0"/>
  </r>
  <r>
    <s v="F/P/K"/>
    <x v="226"/>
    <x v="4"/>
    <x v="6"/>
    <x v="209"/>
    <x v="221"/>
    <x v="4"/>
    <x v="2"/>
    <x v="2"/>
    <m/>
    <x v="0"/>
    <x v="0"/>
    <x v="0"/>
  </r>
  <r>
    <s v="F/P/K"/>
    <x v="227"/>
    <x v="5"/>
    <x v="7"/>
    <x v="209"/>
    <x v="222"/>
    <x v="5"/>
    <x v="2"/>
    <x v="2"/>
    <m/>
    <x v="0"/>
    <x v="0"/>
    <x v="0"/>
  </r>
  <r>
    <s v="F/P/K"/>
    <x v="228"/>
    <x v="0"/>
    <x v="8"/>
    <x v="209"/>
    <x v="223"/>
    <x v="0"/>
    <x v="2"/>
    <x v="2"/>
    <m/>
    <x v="0"/>
    <x v="0"/>
    <x v="0"/>
  </r>
  <r>
    <s v="F/P/K"/>
    <x v="229"/>
    <x v="1"/>
    <x v="9"/>
    <x v="209"/>
    <x v="224"/>
    <x v="1"/>
    <x v="2"/>
    <x v="2"/>
    <m/>
    <x v="0"/>
    <x v="0"/>
    <x v="0"/>
  </r>
  <r>
    <s v="F/P/K"/>
    <x v="230"/>
    <x v="2"/>
    <x v="0"/>
    <x v="209"/>
    <x v="225"/>
    <x v="2"/>
    <x v="2"/>
    <x v="2"/>
    <m/>
    <x v="0"/>
    <x v="0"/>
    <x v="0"/>
  </r>
  <r>
    <s v="F/P/K"/>
    <x v="231"/>
    <x v="3"/>
    <x v="1"/>
    <x v="209"/>
    <x v="226"/>
    <x v="3"/>
    <x v="2"/>
    <x v="2"/>
    <m/>
    <x v="0"/>
    <x v="0"/>
    <x v="0"/>
  </r>
  <r>
    <s v="F/P/K"/>
    <x v="232"/>
    <x v="4"/>
    <x v="2"/>
    <x v="209"/>
    <x v="227"/>
    <x v="4"/>
    <x v="2"/>
    <x v="2"/>
    <m/>
    <x v="0"/>
    <x v="0"/>
    <x v="0"/>
  </r>
  <r>
    <s v="F/P/K"/>
    <x v="233"/>
    <x v="5"/>
    <x v="3"/>
    <x v="209"/>
    <x v="228"/>
    <x v="5"/>
    <x v="2"/>
    <x v="2"/>
    <m/>
    <x v="0"/>
    <x v="0"/>
    <x v="0"/>
  </r>
  <r>
    <s v="F/P/K"/>
    <x v="234"/>
    <x v="0"/>
    <x v="4"/>
    <x v="209"/>
    <x v="229"/>
    <x v="0"/>
    <x v="2"/>
    <x v="2"/>
    <m/>
    <x v="0"/>
    <x v="0"/>
    <x v="0"/>
  </r>
  <r>
    <s v="F/P/K"/>
    <x v="235"/>
    <x v="1"/>
    <x v="5"/>
    <x v="209"/>
    <x v="230"/>
    <x v="1"/>
    <x v="2"/>
    <x v="2"/>
    <m/>
    <x v="0"/>
    <x v="0"/>
    <x v="0"/>
  </r>
  <r>
    <s v="F/P/K"/>
    <x v="236"/>
    <x v="2"/>
    <x v="6"/>
    <x v="209"/>
    <x v="231"/>
    <x v="2"/>
    <x v="2"/>
    <x v="2"/>
    <m/>
    <x v="0"/>
    <x v="0"/>
    <x v="0"/>
  </r>
  <r>
    <s v="F/P/K"/>
    <x v="237"/>
    <x v="3"/>
    <x v="7"/>
    <x v="209"/>
    <x v="232"/>
    <x v="3"/>
    <x v="2"/>
    <x v="2"/>
    <m/>
    <x v="0"/>
    <x v="0"/>
    <x v="0"/>
  </r>
  <r>
    <s v="F/P/K"/>
    <x v="238"/>
    <x v="4"/>
    <x v="8"/>
    <x v="209"/>
    <x v="233"/>
    <x v="4"/>
    <x v="2"/>
    <x v="2"/>
    <m/>
    <x v="0"/>
    <x v="0"/>
    <x v="0"/>
  </r>
  <r>
    <s v="F/P/K"/>
    <x v="239"/>
    <x v="5"/>
    <x v="9"/>
    <x v="209"/>
    <x v="234"/>
    <x v="5"/>
    <x v="2"/>
    <x v="2"/>
    <m/>
    <x v="0"/>
    <x v="0"/>
    <x v="0"/>
  </r>
  <r>
    <s v="F/P/K"/>
    <x v="240"/>
    <x v="0"/>
    <x v="0"/>
    <x v="209"/>
    <x v="235"/>
    <x v="0"/>
    <x v="2"/>
    <x v="2"/>
    <m/>
    <x v="0"/>
    <x v="0"/>
    <x v="0"/>
  </r>
  <r>
    <s v="F/P/K"/>
    <x v="241"/>
    <x v="1"/>
    <x v="1"/>
    <x v="209"/>
    <x v="236"/>
    <x v="1"/>
    <x v="2"/>
    <x v="2"/>
    <m/>
    <x v="0"/>
    <x v="0"/>
    <x v="0"/>
  </r>
  <r>
    <s v="F/P/K"/>
    <x v="242"/>
    <x v="2"/>
    <x v="2"/>
    <x v="209"/>
    <x v="237"/>
    <x v="2"/>
    <x v="2"/>
    <x v="2"/>
    <m/>
    <x v="0"/>
    <x v="0"/>
    <x v="0"/>
  </r>
  <r>
    <s v="F/P/K"/>
    <x v="243"/>
    <x v="3"/>
    <x v="3"/>
    <x v="209"/>
    <x v="238"/>
    <x v="3"/>
    <x v="2"/>
    <x v="2"/>
    <m/>
    <x v="0"/>
    <x v="0"/>
    <x v="0"/>
  </r>
  <r>
    <s v="F/P/K"/>
    <x v="244"/>
    <x v="4"/>
    <x v="4"/>
    <x v="209"/>
    <x v="239"/>
    <x v="4"/>
    <x v="2"/>
    <x v="2"/>
    <m/>
    <x v="0"/>
    <x v="0"/>
    <x v="0"/>
  </r>
  <r>
    <s v="F/P/K"/>
    <x v="245"/>
    <x v="5"/>
    <x v="5"/>
    <x v="209"/>
    <x v="240"/>
    <x v="5"/>
    <x v="2"/>
    <x v="2"/>
    <m/>
    <x v="0"/>
    <x v="0"/>
    <x v="0"/>
  </r>
  <r>
    <s v="F/P/K"/>
    <x v="246"/>
    <x v="0"/>
    <x v="6"/>
    <x v="209"/>
    <x v="241"/>
    <x v="0"/>
    <x v="2"/>
    <x v="2"/>
    <m/>
    <x v="0"/>
    <x v="0"/>
    <x v="0"/>
  </r>
  <r>
    <s v="F/P/K"/>
    <x v="247"/>
    <x v="1"/>
    <x v="7"/>
    <x v="209"/>
    <x v="242"/>
    <x v="1"/>
    <x v="2"/>
    <x v="2"/>
    <m/>
    <x v="0"/>
    <x v="0"/>
    <x v="0"/>
  </r>
  <r>
    <s v="F/P/K"/>
    <x v="248"/>
    <x v="2"/>
    <x v="8"/>
    <x v="209"/>
    <x v="243"/>
    <x v="2"/>
    <x v="2"/>
    <x v="2"/>
    <m/>
    <x v="0"/>
    <x v="0"/>
    <x v="0"/>
  </r>
  <r>
    <s v="F/P/K"/>
    <x v="249"/>
    <x v="3"/>
    <x v="9"/>
    <x v="209"/>
    <x v="244"/>
    <x v="3"/>
    <x v="2"/>
    <x v="2"/>
    <m/>
    <x v="0"/>
    <x v="0"/>
    <x v="0"/>
  </r>
  <r>
    <s v="F/P/K"/>
    <x v="250"/>
    <x v="4"/>
    <x v="0"/>
    <x v="209"/>
    <x v="245"/>
    <x v="4"/>
    <x v="2"/>
    <x v="2"/>
    <m/>
    <x v="0"/>
    <x v="0"/>
    <x v="0"/>
  </r>
  <r>
    <s v="F/P/K"/>
    <x v="251"/>
    <x v="5"/>
    <x v="1"/>
    <x v="209"/>
    <x v="246"/>
    <x v="5"/>
    <x v="2"/>
    <x v="2"/>
    <m/>
    <x v="0"/>
    <x v="0"/>
    <x v="0"/>
  </r>
  <r>
    <s v="F/P/K"/>
    <x v="252"/>
    <x v="0"/>
    <x v="2"/>
    <x v="209"/>
    <x v="247"/>
    <x v="0"/>
    <x v="2"/>
    <x v="2"/>
    <m/>
    <x v="0"/>
    <x v="0"/>
    <x v="0"/>
  </r>
  <r>
    <s v="F/P/K"/>
    <x v="253"/>
    <x v="1"/>
    <x v="3"/>
    <x v="209"/>
    <x v="248"/>
    <x v="1"/>
    <x v="2"/>
    <x v="2"/>
    <m/>
    <x v="0"/>
    <x v="0"/>
    <x v="0"/>
  </r>
  <r>
    <s v="F/P/K"/>
    <x v="254"/>
    <x v="2"/>
    <x v="4"/>
    <x v="209"/>
    <x v="249"/>
    <x v="2"/>
    <x v="2"/>
    <x v="2"/>
    <m/>
    <x v="0"/>
    <x v="0"/>
    <x v="0"/>
  </r>
  <r>
    <s v="F/P/K"/>
    <x v="255"/>
    <x v="3"/>
    <x v="5"/>
    <x v="209"/>
    <x v="250"/>
    <x v="3"/>
    <x v="2"/>
    <x v="2"/>
    <m/>
    <x v="0"/>
    <x v="0"/>
    <x v="0"/>
  </r>
  <r>
    <s v="F/P/K"/>
    <x v="256"/>
    <x v="4"/>
    <x v="6"/>
    <x v="209"/>
    <x v="251"/>
    <x v="4"/>
    <x v="2"/>
    <x v="2"/>
    <m/>
    <x v="0"/>
    <x v="0"/>
    <x v="0"/>
  </r>
  <r>
    <s v="F/P/K"/>
    <x v="257"/>
    <x v="5"/>
    <x v="7"/>
    <x v="209"/>
    <x v="252"/>
    <x v="5"/>
    <x v="2"/>
    <x v="2"/>
    <m/>
    <x v="0"/>
    <x v="0"/>
    <x v="0"/>
  </r>
  <r>
    <s v="F/P/K"/>
    <x v="258"/>
    <x v="0"/>
    <x v="8"/>
    <x v="209"/>
    <x v="253"/>
    <x v="0"/>
    <x v="2"/>
    <x v="2"/>
    <m/>
    <x v="0"/>
    <x v="0"/>
    <x v="0"/>
  </r>
  <r>
    <s v="F/P/K"/>
    <x v="259"/>
    <x v="1"/>
    <x v="9"/>
    <x v="209"/>
    <x v="134"/>
    <x v="1"/>
    <x v="2"/>
    <x v="2"/>
    <m/>
    <x v="0"/>
    <x v="0"/>
    <x v="0"/>
  </r>
  <r>
    <s v="F/P/K"/>
    <x v="260"/>
    <x v="2"/>
    <x v="0"/>
    <x v="209"/>
    <x v="254"/>
    <x v="2"/>
    <x v="2"/>
    <x v="2"/>
    <m/>
    <x v="0"/>
    <x v="0"/>
    <x v="0"/>
  </r>
  <r>
    <s v="F/P/K"/>
    <x v="261"/>
    <x v="3"/>
    <x v="1"/>
    <x v="209"/>
    <x v="255"/>
    <x v="3"/>
    <x v="2"/>
    <x v="2"/>
    <m/>
    <x v="0"/>
    <x v="0"/>
    <x v="0"/>
  </r>
  <r>
    <s v="F/P/K"/>
    <x v="262"/>
    <x v="4"/>
    <x v="2"/>
    <x v="209"/>
    <x v="256"/>
    <x v="4"/>
    <x v="2"/>
    <x v="2"/>
    <m/>
    <x v="0"/>
    <x v="0"/>
    <x v="0"/>
  </r>
  <r>
    <s v="F/P/K"/>
    <x v="263"/>
    <x v="5"/>
    <x v="3"/>
    <x v="209"/>
    <x v="257"/>
    <x v="5"/>
    <x v="2"/>
    <x v="2"/>
    <m/>
    <x v="0"/>
    <x v="0"/>
    <x v="0"/>
  </r>
  <r>
    <s v="F/P/K"/>
    <x v="264"/>
    <x v="0"/>
    <x v="4"/>
    <x v="209"/>
    <x v="258"/>
    <x v="0"/>
    <x v="2"/>
    <x v="2"/>
    <m/>
    <x v="0"/>
    <x v="0"/>
    <x v="0"/>
  </r>
  <r>
    <s v="F/P/K"/>
    <x v="265"/>
    <x v="1"/>
    <x v="5"/>
    <x v="209"/>
    <x v="259"/>
    <x v="1"/>
    <x v="2"/>
    <x v="2"/>
    <m/>
    <x v="0"/>
    <x v="0"/>
    <x v="0"/>
  </r>
  <r>
    <s v="F/P/K"/>
    <x v="266"/>
    <x v="2"/>
    <x v="6"/>
    <x v="209"/>
    <x v="260"/>
    <x v="2"/>
    <x v="2"/>
    <x v="2"/>
    <m/>
    <x v="0"/>
    <x v="0"/>
    <x v="0"/>
  </r>
  <r>
    <s v="F/P/K"/>
    <x v="267"/>
    <x v="3"/>
    <x v="7"/>
    <x v="209"/>
    <x v="261"/>
    <x v="3"/>
    <x v="2"/>
    <x v="2"/>
    <m/>
    <x v="0"/>
    <x v="0"/>
    <x v="0"/>
  </r>
  <r>
    <s v="F/P/K"/>
    <x v="268"/>
    <x v="4"/>
    <x v="8"/>
    <x v="209"/>
    <x v="262"/>
    <x v="4"/>
    <x v="2"/>
    <x v="2"/>
    <m/>
    <x v="0"/>
    <x v="0"/>
    <x v="0"/>
  </r>
  <r>
    <s v="F/P/K"/>
    <x v="269"/>
    <x v="5"/>
    <x v="9"/>
    <x v="209"/>
    <x v="263"/>
    <x v="5"/>
    <x v="2"/>
    <x v="2"/>
    <m/>
    <x v="0"/>
    <x v="0"/>
    <x v="0"/>
  </r>
  <r>
    <s v="F/P/K"/>
    <x v="270"/>
    <x v="0"/>
    <x v="0"/>
    <x v="209"/>
    <x v="264"/>
    <x v="0"/>
    <x v="2"/>
    <x v="2"/>
    <m/>
    <x v="0"/>
    <x v="0"/>
    <x v="0"/>
  </r>
  <r>
    <s v="F/P/K"/>
    <x v="271"/>
    <x v="1"/>
    <x v="1"/>
    <x v="209"/>
    <x v="265"/>
    <x v="1"/>
    <x v="2"/>
    <x v="2"/>
    <m/>
    <x v="0"/>
    <x v="0"/>
    <x v="0"/>
  </r>
  <r>
    <s v="F/P/K"/>
    <x v="272"/>
    <x v="2"/>
    <x v="2"/>
    <x v="209"/>
    <x v="1"/>
    <x v="2"/>
    <x v="2"/>
    <x v="2"/>
    <m/>
    <x v="0"/>
    <x v="0"/>
    <x v="0"/>
  </r>
  <r>
    <s v="F/P/K"/>
    <x v="273"/>
    <x v="3"/>
    <x v="3"/>
    <x v="209"/>
    <x v="266"/>
    <x v="3"/>
    <x v="2"/>
    <x v="2"/>
    <m/>
    <x v="0"/>
    <x v="0"/>
    <x v="0"/>
  </r>
  <r>
    <s v="F/P/K"/>
    <x v="274"/>
    <x v="4"/>
    <x v="4"/>
    <x v="209"/>
    <x v="267"/>
    <x v="4"/>
    <x v="2"/>
    <x v="2"/>
    <m/>
    <x v="0"/>
    <x v="0"/>
    <x v="0"/>
  </r>
  <r>
    <s v="F/P/K"/>
    <x v="275"/>
    <x v="5"/>
    <x v="5"/>
    <x v="209"/>
    <x v="268"/>
    <x v="5"/>
    <x v="2"/>
    <x v="2"/>
    <m/>
    <x v="0"/>
    <x v="0"/>
    <x v="0"/>
  </r>
  <r>
    <s v="F/P/K"/>
    <x v="276"/>
    <x v="0"/>
    <x v="6"/>
    <x v="209"/>
    <x v="34"/>
    <x v="0"/>
    <x v="2"/>
    <x v="2"/>
    <m/>
    <x v="0"/>
    <x v="0"/>
    <x v="0"/>
  </r>
  <r>
    <s v="F/P/K"/>
    <x v="277"/>
    <x v="1"/>
    <x v="7"/>
    <x v="209"/>
    <x v="269"/>
    <x v="1"/>
    <x v="2"/>
    <x v="2"/>
    <m/>
    <x v="0"/>
    <x v="0"/>
    <x v="0"/>
  </r>
  <r>
    <s v="F/P/K"/>
    <x v="278"/>
    <x v="2"/>
    <x v="8"/>
    <x v="209"/>
    <x v="270"/>
    <x v="2"/>
    <x v="2"/>
    <x v="2"/>
    <m/>
    <x v="0"/>
    <x v="0"/>
    <x v="0"/>
  </r>
  <r>
    <s v="F/P/K"/>
    <x v="279"/>
    <x v="3"/>
    <x v="9"/>
    <x v="209"/>
    <x v="271"/>
    <x v="3"/>
    <x v="2"/>
    <x v="2"/>
    <m/>
    <x v="0"/>
    <x v="0"/>
    <x v="0"/>
  </r>
  <r>
    <s v="F/P/K"/>
    <x v="280"/>
    <x v="4"/>
    <x v="0"/>
    <x v="209"/>
    <x v="272"/>
    <x v="4"/>
    <x v="2"/>
    <x v="2"/>
    <m/>
    <x v="0"/>
    <x v="0"/>
    <x v="0"/>
  </r>
  <r>
    <s v="F/P/K"/>
    <x v="281"/>
    <x v="5"/>
    <x v="1"/>
    <x v="209"/>
    <x v="273"/>
    <x v="5"/>
    <x v="2"/>
    <x v="2"/>
    <m/>
    <x v="0"/>
    <x v="0"/>
    <x v="0"/>
  </r>
  <r>
    <s v="F/P/K"/>
    <x v="282"/>
    <x v="0"/>
    <x v="2"/>
    <x v="209"/>
    <x v="274"/>
    <x v="0"/>
    <x v="2"/>
    <x v="2"/>
    <m/>
    <x v="0"/>
    <x v="0"/>
    <x v="0"/>
  </r>
  <r>
    <s v="F/P/K"/>
    <x v="283"/>
    <x v="1"/>
    <x v="3"/>
    <x v="209"/>
    <x v="142"/>
    <x v="1"/>
    <x v="2"/>
    <x v="2"/>
    <m/>
    <x v="0"/>
    <x v="0"/>
    <x v="0"/>
  </r>
  <r>
    <s v="F/P/K"/>
    <x v="284"/>
    <x v="2"/>
    <x v="4"/>
    <x v="209"/>
    <x v="275"/>
    <x v="2"/>
    <x v="2"/>
    <x v="2"/>
    <m/>
    <x v="0"/>
    <x v="0"/>
    <x v="0"/>
  </r>
  <r>
    <s v="F/P/K"/>
    <x v="285"/>
    <x v="3"/>
    <x v="5"/>
    <x v="209"/>
    <x v="276"/>
    <x v="3"/>
    <x v="2"/>
    <x v="2"/>
    <m/>
    <x v="0"/>
    <x v="0"/>
    <x v="0"/>
  </r>
  <r>
    <s v="F/P/K"/>
    <x v="286"/>
    <x v="4"/>
    <x v="6"/>
    <x v="209"/>
    <x v="277"/>
    <x v="4"/>
    <x v="2"/>
    <x v="2"/>
    <m/>
    <x v="0"/>
    <x v="0"/>
    <x v="0"/>
  </r>
  <r>
    <s v="F/P/K"/>
    <x v="287"/>
    <x v="5"/>
    <x v="7"/>
    <x v="209"/>
    <x v="278"/>
    <x v="5"/>
    <x v="2"/>
    <x v="2"/>
    <m/>
    <x v="0"/>
    <x v="0"/>
    <x v="0"/>
  </r>
  <r>
    <s v="F/P/K"/>
    <x v="288"/>
    <x v="0"/>
    <x v="8"/>
    <x v="209"/>
    <x v="279"/>
    <x v="0"/>
    <x v="2"/>
    <x v="2"/>
    <m/>
    <x v="0"/>
    <x v="0"/>
    <x v="0"/>
  </r>
  <r>
    <s v="F/P/K"/>
    <x v="289"/>
    <x v="1"/>
    <x v="9"/>
    <x v="209"/>
    <x v="280"/>
    <x v="1"/>
    <x v="2"/>
    <x v="2"/>
    <m/>
    <x v="0"/>
    <x v="0"/>
    <x v="0"/>
  </r>
  <r>
    <s v="F/P/K"/>
    <x v="290"/>
    <x v="2"/>
    <x v="0"/>
    <x v="209"/>
    <x v="281"/>
    <x v="2"/>
    <x v="2"/>
    <x v="2"/>
    <m/>
    <x v="0"/>
    <x v="0"/>
    <x v="0"/>
  </r>
  <r>
    <s v="F/P/K"/>
    <x v="291"/>
    <x v="3"/>
    <x v="1"/>
    <x v="209"/>
    <x v="208"/>
    <x v="3"/>
    <x v="2"/>
    <x v="2"/>
    <m/>
    <x v="0"/>
    <x v="0"/>
    <x v="0"/>
  </r>
  <r>
    <s v="F/P/K"/>
    <x v="292"/>
    <x v="4"/>
    <x v="2"/>
    <x v="209"/>
    <x v="282"/>
    <x v="4"/>
    <x v="2"/>
    <x v="2"/>
    <m/>
    <x v="0"/>
    <x v="0"/>
    <x v="0"/>
  </r>
  <r>
    <s v="F/P/K"/>
    <x v="293"/>
    <x v="5"/>
    <x v="3"/>
    <x v="209"/>
    <x v="283"/>
    <x v="5"/>
    <x v="2"/>
    <x v="2"/>
    <m/>
    <x v="0"/>
    <x v="0"/>
    <x v="0"/>
  </r>
  <r>
    <s v="F/P/K"/>
    <x v="294"/>
    <x v="0"/>
    <x v="4"/>
    <x v="209"/>
    <x v="284"/>
    <x v="0"/>
    <x v="2"/>
    <x v="2"/>
    <m/>
    <x v="0"/>
    <x v="0"/>
    <x v="0"/>
  </r>
  <r>
    <s v="F/P/K"/>
    <x v="295"/>
    <x v="1"/>
    <x v="5"/>
    <x v="209"/>
    <x v="89"/>
    <x v="1"/>
    <x v="2"/>
    <x v="2"/>
    <m/>
    <x v="0"/>
    <x v="0"/>
    <x v="0"/>
  </r>
  <r>
    <s v="F/P/K"/>
    <x v="296"/>
    <x v="2"/>
    <x v="6"/>
    <x v="209"/>
    <x v="42"/>
    <x v="2"/>
    <x v="2"/>
    <x v="2"/>
    <m/>
    <x v="0"/>
    <x v="0"/>
    <x v="0"/>
  </r>
  <r>
    <s v="F/P/K"/>
    <x v="297"/>
    <x v="3"/>
    <x v="7"/>
    <x v="209"/>
    <x v="285"/>
    <x v="3"/>
    <x v="2"/>
    <x v="2"/>
    <m/>
    <x v="0"/>
    <x v="0"/>
    <x v="0"/>
  </r>
  <r>
    <s v="F/P/K"/>
    <x v="298"/>
    <x v="4"/>
    <x v="8"/>
    <x v="209"/>
    <x v="286"/>
    <x v="4"/>
    <x v="2"/>
    <x v="2"/>
    <m/>
    <x v="0"/>
    <x v="0"/>
    <x v="0"/>
  </r>
  <r>
    <s v="F/P/K"/>
    <x v="299"/>
    <x v="5"/>
    <x v="9"/>
    <x v="209"/>
    <x v="287"/>
    <x v="5"/>
    <x v="2"/>
    <x v="2"/>
    <m/>
    <x v="0"/>
    <x v="0"/>
    <x v="0"/>
  </r>
  <r>
    <s v="F/P/K"/>
    <x v="300"/>
    <x v="0"/>
    <x v="0"/>
    <x v="209"/>
    <x v="288"/>
    <x v="0"/>
    <x v="2"/>
    <x v="2"/>
    <m/>
    <x v="0"/>
    <x v="0"/>
    <x v="0"/>
  </r>
  <r>
    <s v="F/P/K"/>
    <x v="301"/>
    <x v="1"/>
    <x v="1"/>
    <x v="209"/>
    <x v="289"/>
    <x v="1"/>
    <x v="2"/>
    <x v="2"/>
    <m/>
    <x v="0"/>
    <x v="0"/>
    <x v="0"/>
  </r>
  <r>
    <s v="F/P/K"/>
    <x v="302"/>
    <x v="2"/>
    <x v="2"/>
    <x v="209"/>
    <x v="290"/>
    <x v="2"/>
    <x v="2"/>
    <x v="2"/>
    <m/>
    <x v="0"/>
    <x v="0"/>
    <x v="0"/>
  </r>
  <r>
    <s v="F/P/K"/>
    <x v="303"/>
    <x v="3"/>
    <x v="3"/>
    <x v="209"/>
    <x v="291"/>
    <x v="3"/>
    <x v="2"/>
    <x v="2"/>
    <m/>
    <x v="0"/>
    <x v="0"/>
    <x v="0"/>
  </r>
  <r>
    <s v="F/P/K"/>
    <x v="304"/>
    <x v="4"/>
    <x v="4"/>
    <x v="209"/>
    <x v="292"/>
    <x v="4"/>
    <x v="2"/>
    <x v="2"/>
    <m/>
    <x v="0"/>
    <x v="0"/>
    <x v="0"/>
  </r>
  <r>
    <s v="F/P/K"/>
    <x v="305"/>
    <x v="5"/>
    <x v="5"/>
    <x v="209"/>
    <x v="293"/>
    <x v="5"/>
    <x v="2"/>
    <x v="2"/>
    <m/>
    <x v="0"/>
    <x v="0"/>
    <x v="0"/>
  </r>
  <r>
    <s v="F/P/K"/>
    <x v="306"/>
    <x v="0"/>
    <x v="6"/>
    <x v="209"/>
    <x v="294"/>
    <x v="0"/>
    <x v="2"/>
    <x v="2"/>
    <m/>
    <x v="0"/>
    <x v="0"/>
    <x v="0"/>
  </r>
  <r>
    <s v="F/P/K"/>
    <x v="307"/>
    <x v="1"/>
    <x v="7"/>
    <x v="209"/>
    <x v="295"/>
    <x v="1"/>
    <x v="2"/>
    <x v="2"/>
    <m/>
    <x v="0"/>
    <x v="0"/>
    <x v="0"/>
  </r>
  <r>
    <s v="F/P/K"/>
    <x v="308"/>
    <x v="2"/>
    <x v="8"/>
    <x v="209"/>
    <x v="296"/>
    <x v="2"/>
    <x v="2"/>
    <x v="2"/>
    <m/>
    <x v="0"/>
    <x v="0"/>
    <x v="0"/>
  </r>
  <r>
    <s v="F/P/K"/>
    <x v="309"/>
    <x v="3"/>
    <x v="9"/>
    <x v="209"/>
    <x v="297"/>
    <x v="3"/>
    <x v="2"/>
    <x v="2"/>
    <m/>
    <x v="0"/>
    <x v="0"/>
    <x v="0"/>
  </r>
  <r>
    <s v="F/P/K"/>
    <x v="310"/>
    <x v="4"/>
    <x v="0"/>
    <x v="209"/>
    <x v="298"/>
    <x v="4"/>
    <x v="2"/>
    <x v="2"/>
    <m/>
    <x v="0"/>
    <x v="0"/>
    <x v="0"/>
  </r>
  <r>
    <s v="F/P/K"/>
    <x v="311"/>
    <x v="5"/>
    <x v="1"/>
    <x v="209"/>
    <x v="299"/>
    <x v="5"/>
    <x v="2"/>
    <x v="2"/>
    <m/>
    <x v="0"/>
    <x v="0"/>
    <x v="0"/>
  </r>
  <r>
    <s v="F/P/K"/>
    <x v="312"/>
    <x v="0"/>
    <x v="2"/>
    <x v="209"/>
    <x v="300"/>
    <x v="0"/>
    <x v="2"/>
    <x v="2"/>
    <m/>
    <x v="0"/>
    <x v="0"/>
    <x v="0"/>
  </r>
  <r>
    <s v="F/P/K"/>
    <x v="313"/>
    <x v="1"/>
    <x v="3"/>
    <x v="209"/>
    <x v="301"/>
    <x v="1"/>
    <x v="2"/>
    <x v="2"/>
    <m/>
    <x v="0"/>
    <x v="0"/>
    <x v="0"/>
  </r>
  <r>
    <s v="F/P/K"/>
    <x v="314"/>
    <x v="2"/>
    <x v="4"/>
    <x v="209"/>
    <x v="302"/>
    <x v="2"/>
    <x v="2"/>
    <x v="2"/>
    <m/>
    <x v="0"/>
    <x v="0"/>
    <x v="0"/>
  </r>
  <r>
    <s v="F/P/K"/>
    <x v="315"/>
    <x v="3"/>
    <x v="5"/>
    <x v="209"/>
    <x v="303"/>
    <x v="3"/>
    <x v="2"/>
    <x v="2"/>
    <m/>
    <x v="0"/>
    <x v="0"/>
    <x v="0"/>
  </r>
  <r>
    <s v="F/P/K"/>
    <x v="316"/>
    <x v="4"/>
    <x v="6"/>
    <x v="209"/>
    <x v="304"/>
    <x v="4"/>
    <x v="2"/>
    <x v="2"/>
    <m/>
    <x v="0"/>
    <x v="0"/>
    <x v="0"/>
  </r>
  <r>
    <s v="F/P/K"/>
    <x v="317"/>
    <x v="5"/>
    <x v="7"/>
    <x v="209"/>
    <x v="305"/>
    <x v="5"/>
    <x v="2"/>
    <x v="2"/>
    <m/>
    <x v="0"/>
    <x v="0"/>
    <x v="0"/>
  </r>
  <r>
    <s v="F/P/K"/>
    <x v="318"/>
    <x v="0"/>
    <x v="8"/>
    <x v="209"/>
    <x v="306"/>
    <x v="0"/>
    <x v="2"/>
    <x v="2"/>
    <m/>
    <x v="0"/>
    <x v="0"/>
    <x v="0"/>
  </r>
  <r>
    <s v="F/P/K"/>
    <x v="319"/>
    <x v="1"/>
    <x v="9"/>
    <x v="209"/>
    <x v="307"/>
    <x v="1"/>
    <x v="2"/>
    <x v="2"/>
    <m/>
    <x v="0"/>
    <x v="0"/>
    <x v="0"/>
  </r>
  <r>
    <s v="F/P/K"/>
    <x v="320"/>
    <x v="2"/>
    <x v="0"/>
    <x v="209"/>
    <x v="308"/>
    <x v="2"/>
    <x v="2"/>
    <x v="2"/>
    <m/>
    <x v="0"/>
    <x v="0"/>
    <x v="0"/>
  </r>
  <r>
    <s v="F/P/K"/>
    <x v="321"/>
    <x v="3"/>
    <x v="1"/>
    <x v="209"/>
    <x v="309"/>
    <x v="3"/>
    <x v="2"/>
    <x v="2"/>
    <m/>
    <x v="0"/>
    <x v="0"/>
    <x v="0"/>
  </r>
  <r>
    <s v="F/P/K"/>
    <x v="322"/>
    <x v="4"/>
    <x v="2"/>
    <x v="209"/>
    <x v="310"/>
    <x v="4"/>
    <x v="2"/>
    <x v="2"/>
    <m/>
    <x v="0"/>
    <x v="0"/>
    <x v="0"/>
  </r>
  <r>
    <s v="F/P/K"/>
    <x v="323"/>
    <x v="5"/>
    <x v="3"/>
    <x v="209"/>
    <x v="311"/>
    <x v="5"/>
    <x v="2"/>
    <x v="2"/>
    <m/>
    <x v="0"/>
    <x v="0"/>
    <x v="0"/>
  </r>
  <r>
    <s v="F/P/K"/>
    <x v="324"/>
    <x v="0"/>
    <x v="4"/>
    <x v="209"/>
    <x v="312"/>
    <x v="0"/>
    <x v="2"/>
    <x v="2"/>
    <m/>
    <x v="0"/>
    <x v="0"/>
    <x v="0"/>
  </r>
  <r>
    <s v="F/P/K"/>
    <x v="325"/>
    <x v="1"/>
    <x v="5"/>
    <x v="209"/>
    <x v="313"/>
    <x v="1"/>
    <x v="2"/>
    <x v="2"/>
    <m/>
    <x v="0"/>
    <x v="0"/>
    <x v="0"/>
  </r>
  <r>
    <s v="F/P/K"/>
    <x v="326"/>
    <x v="2"/>
    <x v="6"/>
    <x v="209"/>
    <x v="314"/>
    <x v="2"/>
    <x v="2"/>
    <x v="2"/>
    <m/>
    <x v="0"/>
    <x v="0"/>
    <x v="0"/>
  </r>
  <r>
    <s v="F/P/K"/>
    <x v="327"/>
    <x v="3"/>
    <x v="7"/>
    <x v="209"/>
    <x v="315"/>
    <x v="3"/>
    <x v="2"/>
    <x v="2"/>
    <m/>
    <x v="0"/>
    <x v="0"/>
    <x v="0"/>
  </r>
  <r>
    <s v="F/P/K"/>
    <x v="328"/>
    <x v="4"/>
    <x v="8"/>
    <x v="209"/>
    <x v="316"/>
    <x v="4"/>
    <x v="2"/>
    <x v="2"/>
    <m/>
    <x v="0"/>
    <x v="0"/>
    <x v="0"/>
  </r>
  <r>
    <s v="F/P/K"/>
    <x v="329"/>
    <x v="5"/>
    <x v="9"/>
    <x v="209"/>
    <x v="317"/>
    <x v="5"/>
    <x v="2"/>
    <x v="2"/>
    <m/>
    <x v="0"/>
    <x v="0"/>
    <x v="0"/>
  </r>
  <r>
    <s v="F/P/K"/>
    <x v="330"/>
    <x v="0"/>
    <x v="0"/>
    <x v="209"/>
    <x v="78"/>
    <x v="0"/>
    <x v="2"/>
    <x v="2"/>
    <m/>
    <x v="0"/>
    <x v="0"/>
    <x v="0"/>
  </r>
  <r>
    <s v="F/P/K"/>
    <x v="331"/>
    <x v="1"/>
    <x v="1"/>
    <x v="209"/>
    <x v="318"/>
    <x v="1"/>
    <x v="2"/>
    <x v="2"/>
    <m/>
    <x v="0"/>
    <x v="0"/>
    <x v="0"/>
  </r>
  <r>
    <s v="F/P/K"/>
    <x v="332"/>
    <x v="2"/>
    <x v="2"/>
    <x v="209"/>
    <x v="319"/>
    <x v="2"/>
    <x v="2"/>
    <x v="2"/>
    <m/>
    <x v="0"/>
    <x v="0"/>
    <x v="0"/>
  </r>
  <r>
    <s v="F/P/K"/>
    <x v="333"/>
    <x v="3"/>
    <x v="3"/>
    <x v="209"/>
    <x v="320"/>
    <x v="3"/>
    <x v="2"/>
    <x v="2"/>
    <m/>
    <x v="0"/>
    <x v="0"/>
    <x v="0"/>
  </r>
  <r>
    <s v="F/P/K"/>
    <x v="334"/>
    <x v="4"/>
    <x v="4"/>
    <x v="209"/>
    <x v="321"/>
    <x v="4"/>
    <x v="2"/>
    <x v="2"/>
    <m/>
    <x v="0"/>
    <x v="0"/>
    <x v="0"/>
  </r>
  <r>
    <s v="F/P/K"/>
    <x v="335"/>
    <x v="5"/>
    <x v="5"/>
    <x v="209"/>
    <x v="322"/>
    <x v="5"/>
    <x v="2"/>
    <x v="2"/>
    <m/>
    <x v="0"/>
    <x v="0"/>
    <x v="0"/>
  </r>
  <r>
    <s v="F/P/K"/>
    <x v="336"/>
    <x v="0"/>
    <x v="6"/>
    <x v="209"/>
    <x v="323"/>
    <x v="0"/>
    <x v="2"/>
    <x v="2"/>
    <m/>
    <x v="0"/>
    <x v="0"/>
    <x v="0"/>
  </r>
  <r>
    <s v="F/P/K"/>
    <x v="337"/>
    <x v="1"/>
    <x v="7"/>
    <x v="209"/>
    <x v="324"/>
    <x v="1"/>
    <x v="2"/>
    <x v="2"/>
    <m/>
    <x v="0"/>
    <x v="0"/>
    <x v="0"/>
  </r>
  <r>
    <s v="F/P/K"/>
    <x v="338"/>
    <x v="2"/>
    <x v="8"/>
    <x v="209"/>
    <x v="325"/>
    <x v="2"/>
    <x v="2"/>
    <x v="2"/>
    <m/>
    <x v="0"/>
    <x v="0"/>
    <x v="0"/>
  </r>
  <r>
    <s v="F/P/K"/>
    <x v="339"/>
    <x v="3"/>
    <x v="9"/>
    <x v="209"/>
    <x v="326"/>
    <x v="3"/>
    <x v="2"/>
    <x v="2"/>
    <m/>
    <x v="0"/>
    <x v="0"/>
    <x v="0"/>
  </r>
  <r>
    <s v="F/P/K"/>
    <x v="340"/>
    <x v="4"/>
    <x v="0"/>
    <x v="209"/>
    <x v="327"/>
    <x v="4"/>
    <x v="2"/>
    <x v="2"/>
    <m/>
    <x v="0"/>
    <x v="0"/>
    <x v="0"/>
  </r>
  <r>
    <s v="F/P/K"/>
    <x v="341"/>
    <x v="5"/>
    <x v="1"/>
    <x v="209"/>
    <x v="328"/>
    <x v="5"/>
    <x v="2"/>
    <x v="2"/>
    <m/>
    <x v="0"/>
    <x v="0"/>
    <x v="0"/>
  </r>
  <r>
    <s v="F/P/K"/>
    <x v="342"/>
    <x v="0"/>
    <x v="2"/>
    <x v="209"/>
    <x v="329"/>
    <x v="0"/>
    <x v="2"/>
    <x v="2"/>
    <m/>
    <x v="0"/>
    <x v="0"/>
    <x v="0"/>
  </r>
  <r>
    <s v="F/P/K"/>
    <x v="343"/>
    <x v="1"/>
    <x v="3"/>
    <x v="209"/>
    <x v="330"/>
    <x v="1"/>
    <x v="2"/>
    <x v="2"/>
    <m/>
    <x v="0"/>
    <x v="0"/>
    <x v="0"/>
  </r>
  <r>
    <s v="F/P/K"/>
    <x v="344"/>
    <x v="2"/>
    <x v="4"/>
    <x v="209"/>
    <x v="331"/>
    <x v="2"/>
    <x v="2"/>
    <x v="2"/>
    <m/>
    <x v="0"/>
    <x v="0"/>
    <x v="0"/>
  </r>
  <r>
    <s v="F/P/K"/>
    <x v="345"/>
    <x v="3"/>
    <x v="5"/>
    <x v="209"/>
    <x v="332"/>
    <x v="3"/>
    <x v="2"/>
    <x v="2"/>
    <m/>
    <x v="0"/>
    <x v="0"/>
    <x v="0"/>
  </r>
  <r>
    <s v="F/P/K"/>
    <x v="346"/>
    <x v="4"/>
    <x v="6"/>
    <x v="209"/>
    <x v="333"/>
    <x v="4"/>
    <x v="2"/>
    <x v="2"/>
    <m/>
    <x v="0"/>
    <x v="0"/>
    <x v="0"/>
  </r>
  <r>
    <s v="F/P/K"/>
    <x v="347"/>
    <x v="5"/>
    <x v="7"/>
    <x v="209"/>
    <x v="334"/>
    <x v="5"/>
    <x v="2"/>
    <x v="2"/>
    <m/>
    <x v="0"/>
    <x v="0"/>
    <x v="0"/>
  </r>
  <r>
    <s v="F/P/K"/>
    <x v="348"/>
    <x v="0"/>
    <x v="8"/>
    <x v="209"/>
    <x v="232"/>
    <x v="0"/>
    <x v="2"/>
    <x v="2"/>
    <m/>
    <x v="0"/>
    <x v="0"/>
    <x v="0"/>
  </r>
  <r>
    <s v="F/P/K"/>
    <x v="349"/>
    <x v="1"/>
    <x v="9"/>
    <x v="209"/>
    <x v="335"/>
    <x v="1"/>
    <x v="2"/>
    <x v="2"/>
    <m/>
    <x v="0"/>
    <x v="0"/>
    <x v="0"/>
  </r>
  <r>
    <s v="F/P/K"/>
    <x v="350"/>
    <x v="2"/>
    <x v="0"/>
    <x v="209"/>
    <x v="336"/>
    <x v="2"/>
    <x v="2"/>
    <x v="2"/>
    <m/>
    <x v="0"/>
    <x v="0"/>
    <x v="0"/>
  </r>
  <r>
    <s v="F/P/K"/>
    <x v="351"/>
    <x v="3"/>
    <x v="1"/>
    <x v="209"/>
    <x v="337"/>
    <x v="3"/>
    <x v="2"/>
    <x v="2"/>
    <m/>
    <x v="0"/>
    <x v="0"/>
    <x v="0"/>
  </r>
  <r>
    <s v="F/P/K"/>
    <x v="352"/>
    <x v="4"/>
    <x v="2"/>
    <x v="209"/>
    <x v="338"/>
    <x v="4"/>
    <x v="2"/>
    <x v="2"/>
    <m/>
    <x v="0"/>
    <x v="0"/>
    <x v="0"/>
  </r>
  <r>
    <s v="F/P/K"/>
    <x v="353"/>
    <x v="5"/>
    <x v="3"/>
    <x v="209"/>
    <x v="152"/>
    <x v="5"/>
    <x v="2"/>
    <x v="2"/>
    <m/>
    <x v="0"/>
    <x v="0"/>
    <x v="0"/>
  </r>
  <r>
    <s v="F/P/K"/>
    <x v="354"/>
    <x v="0"/>
    <x v="4"/>
    <x v="209"/>
    <x v="339"/>
    <x v="0"/>
    <x v="2"/>
    <x v="2"/>
    <m/>
    <x v="0"/>
    <x v="0"/>
    <x v="0"/>
  </r>
  <r>
    <s v="F/P/K"/>
    <x v="355"/>
    <x v="1"/>
    <x v="5"/>
    <x v="209"/>
    <x v="192"/>
    <x v="1"/>
    <x v="2"/>
    <x v="2"/>
    <m/>
    <x v="0"/>
    <x v="0"/>
    <x v="0"/>
  </r>
  <r>
    <s v="F/P/K"/>
    <x v="356"/>
    <x v="2"/>
    <x v="6"/>
    <x v="209"/>
    <x v="340"/>
    <x v="2"/>
    <x v="2"/>
    <x v="2"/>
    <m/>
    <x v="0"/>
    <x v="0"/>
    <x v="0"/>
  </r>
  <r>
    <s v="F/P/K"/>
    <x v="357"/>
    <x v="3"/>
    <x v="7"/>
    <x v="209"/>
    <x v="341"/>
    <x v="3"/>
    <x v="2"/>
    <x v="2"/>
    <m/>
    <x v="0"/>
    <x v="0"/>
    <x v="0"/>
  </r>
  <r>
    <s v="F/P/K"/>
    <x v="358"/>
    <x v="4"/>
    <x v="8"/>
    <x v="209"/>
    <x v="342"/>
    <x v="4"/>
    <x v="2"/>
    <x v="2"/>
    <m/>
    <x v="0"/>
    <x v="0"/>
    <x v="0"/>
  </r>
  <r>
    <s v="F/P/K"/>
    <x v="359"/>
    <x v="5"/>
    <x v="9"/>
    <x v="209"/>
    <x v="186"/>
    <x v="5"/>
    <x v="2"/>
    <x v="2"/>
    <m/>
    <x v="0"/>
    <x v="0"/>
    <x v="0"/>
  </r>
  <r>
    <s v="F/P/K"/>
    <x v="360"/>
    <x v="0"/>
    <x v="0"/>
    <x v="209"/>
    <x v="343"/>
    <x v="0"/>
    <x v="2"/>
    <x v="2"/>
    <m/>
    <x v="0"/>
    <x v="0"/>
    <x v="0"/>
  </r>
  <r>
    <s v="F/P/K"/>
    <x v="361"/>
    <x v="1"/>
    <x v="1"/>
    <x v="209"/>
    <x v="344"/>
    <x v="1"/>
    <x v="2"/>
    <x v="2"/>
    <m/>
    <x v="0"/>
    <x v="0"/>
    <x v="0"/>
  </r>
  <r>
    <s v="F/P/K"/>
    <x v="362"/>
    <x v="2"/>
    <x v="2"/>
    <x v="209"/>
    <x v="345"/>
    <x v="2"/>
    <x v="2"/>
    <x v="2"/>
    <m/>
    <x v="0"/>
    <x v="0"/>
    <x v="0"/>
  </r>
  <r>
    <s v="F/P/K"/>
    <x v="363"/>
    <x v="3"/>
    <x v="3"/>
    <x v="209"/>
    <x v="346"/>
    <x v="3"/>
    <x v="2"/>
    <x v="2"/>
    <m/>
    <x v="0"/>
    <x v="0"/>
    <x v="0"/>
  </r>
  <r>
    <s v="F/P/K"/>
    <x v="364"/>
    <x v="4"/>
    <x v="4"/>
    <x v="209"/>
    <x v="347"/>
    <x v="4"/>
    <x v="2"/>
    <x v="2"/>
    <m/>
    <x v="0"/>
    <x v="0"/>
    <x v="0"/>
  </r>
  <r>
    <s v="M"/>
    <x v="0"/>
    <x v="6"/>
    <x v="10"/>
    <x v="209"/>
    <x v="348"/>
    <x v="6"/>
    <x v="2"/>
    <x v="2"/>
    <m/>
    <x v="1"/>
    <x v="1"/>
    <x v="1"/>
  </r>
  <r>
    <s v="M"/>
    <x v="31"/>
    <x v="6"/>
    <x v="10"/>
    <x v="209"/>
    <x v="348"/>
    <x v="6"/>
    <x v="2"/>
    <x v="2"/>
    <m/>
    <x v="1"/>
    <x v="2"/>
    <x v="2"/>
  </r>
  <r>
    <s v="M"/>
    <x v="59"/>
    <x v="6"/>
    <x v="10"/>
    <x v="209"/>
    <x v="348"/>
    <x v="6"/>
    <x v="2"/>
    <x v="2"/>
    <m/>
    <x v="1"/>
    <x v="3"/>
    <x v="1"/>
  </r>
  <r>
    <s v="M"/>
    <x v="90"/>
    <x v="6"/>
    <x v="10"/>
    <x v="209"/>
    <x v="348"/>
    <x v="6"/>
    <x v="2"/>
    <x v="2"/>
    <m/>
    <x v="1"/>
    <x v="4"/>
    <x v="3"/>
  </r>
  <r>
    <s v="M"/>
    <x v="120"/>
    <x v="6"/>
    <x v="10"/>
    <x v="209"/>
    <x v="348"/>
    <x v="6"/>
    <x v="2"/>
    <x v="2"/>
    <m/>
    <x v="1"/>
    <x v="5"/>
    <x v="3"/>
  </r>
  <r>
    <s v="M"/>
    <x v="151"/>
    <x v="6"/>
    <x v="10"/>
    <x v="209"/>
    <x v="348"/>
    <x v="6"/>
    <x v="2"/>
    <x v="2"/>
    <m/>
    <x v="1"/>
    <x v="5"/>
    <x v="3"/>
  </r>
  <r>
    <s v="M"/>
    <x v="181"/>
    <x v="6"/>
    <x v="10"/>
    <x v="209"/>
    <x v="348"/>
    <x v="6"/>
    <x v="2"/>
    <x v="2"/>
    <m/>
    <x v="1"/>
    <x v="5"/>
    <x v="3"/>
  </r>
  <r>
    <s v="M"/>
    <x v="0"/>
    <x v="6"/>
    <x v="10"/>
    <x v="209"/>
    <x v="348"/>
    <x v="6"/>
    <x v="2"/>
    <x v="2"/>
    <m/>
    <x v="2"/>
    <x v="6"/>
    <x v="4"/>
  </r>
  <r>
    <s v="M"/>
    <x v="31"/>
    <x v="6"/>
    <x v="10"/>
    <x v="209"/>
    <x v="348"/>
    <x v="6"/>
    <x v="2"/>
    <x v="2"/>
    <m/>
    <x v="2"/>
    <x v="6"/>
    <x v="5"/>
  </r>
  <r>
    <s v="M"/>
    <x v="59"/>
    <x v="6"/>
    <x v="10"/>
    <x v="209"/>
    <x v="348"/>
    <x v="6"/>
    <x v="2"/>
    <x v="2"/>
    <m/>
    <x v="2"/>
    <x v="6"/>
    <x v="6"/>
  </r>
  <r>
    <s v="M"/>
    <x v="90"/>
    <x v="6"/>
    <x v="10"/>
    <x v="209"/>
    <x v="348"/>
    <x v="6"/>
    <x v="2"/>
    <x v="2"/>
    <m/>
    <x v="2"/>
    <x v="7"/>
    <x v="7"/>
  </r>
  <r>
    <s v="M"/>
    <x v="120"/>
    <x v="6"/>
    <x v="10"/>
    <x v="209"/>
    <x v="348"/>
    <x v="6"/>
    <x v="2"/>
    <x v="2"/>
    <m/>
    <x v="2"/>
    <x v="8"/>
    <x v="8"/>
  </r>
  <r>
    <s v="M"/>
    <x v="151"/>
    <x v="6"/>
    <x v="10"/>
    <x v="209"/>
    <x v="348"/>
    <x v="6"/>
    <x v="2"/>
    <x v="2"/>
    <m/>
    <x v="2"/>
    <x v="9"/>
    <x v="9"/>
  </r>
  <r>
    <s v="M"/>
    <x v="181"/>
    <x v="6"/>
    <x v="10"/>
    <x v="209"/>
    <x v="348"/>
    <x v="6"/>
    <x v="2"/>
    <x v="2"/>
    <m/>
    <x v="2"/>
    <x v="10"/>
    <x v="10"/>
  </r>
  <r>
    <s v="M"/>
    <x v="0"/>
    <x v="6"/>
    <x v="10"/>
    <x v="209"/>
    <x v="348"/>
    <x v="6"/>
    <x v="2"/>
    <x v="2"/>
    <m/>
    <x v="3"/>
    <x v="11"/>
    <x v="4"/>
  </r>
  <r>
    <s v="M"/>
    <x v="31"/>
    <x v="6"/>
    <x v="10"/>
    <x v="209"/>
    <x v="348"/>
    <x v="6"/>
    <x v="2"/>
    <x v="2"/>
    <m/>
    <x v="3"/>
    <x v="11"/>
    <x v="5"/>
  </r>
  <r>
    <s v="M"/>
    <x v="59"/>
    <x v="6"/>
    <x v="10"/>
    <x v="209"/>
    <x v="348"/>
    <x v="6"/>
    <x v="2"/>
    <x v="2"/>
    <m/>
    <x v="3"/>
    <x v="5"/>
    <x v="5"/>
  </r>
  <r>
    <s v="M"/>
    <x v="90"/>
    <x v="6"/>
    <x v="10"/>
    <x v="209"/>
    <x v="348"/>
    <x v="6"/>
    <x v="2"/>
    <x v="2"/>
    <m/>
    <x v="3"/>
    <x v="5"/>
    <x v="7"/>
  </r>
  <r>
    <s v="M"/>
    <x v="120"/>
    <x v="6"/>
    <x v="10"/>
    <x v="209"/>
    <x v="348"/>
    <x v="6"/>
    <x v="2"/>
    <x v="2"/>
    <m/>
    <x v="3"/>
    <x v="1"/>
    <x v="8"/>
  </r>
  <r>
    <s v="M"/>
    <x v="151"/>
    <x v="6"/>
    <x v="10"/>
    <x v="209"/>
    <x v="348"/>
    <x v="6"/>
    <x v="2"/>
    <x v="2"/>
    <m/>
    <x v="3"/>
    <x v="3"/>
    <x v="8"/>
  </r>
  <r>
    <s v="M"/>
    <x v="181"/>
    <x v="6"/>
    <x v="10"/>
    <x v="209"/>
    <x v="348"/>
    <x v="6"/>
    <x v="2"/>
    <x v="2"/>
    <m/>
    <x v="3"/>
    <x v="3"/>
    <x v="9"/>
  </r>
  <r>
    <s v="M"/>
    <x v="0"/>
    <x v="6"/>
    <x v="10"/>
    <x v="209"/>
    <x v="348"/>
    <x v="6"/>
    <x v="2"/>
    <x v="2"/>
    <m/>
    <x v="4"/>
    <x v="12"/>
    <x v="1"/>
  </r>
  <r>
    <s v="M"/>
    <x v="31"/>
    <x v="6"/>
    <x v="10"/>
    <x v="209"/>
    <x v="348"/>
    <x v="6"/>
    <x v="2"/>
    <x v="2"/>
    <m/>
    <x v="4"/>
    <x v="12"/>
    <x v="1"/>
  </r>
  <r>
    <s v="M"/>
    <x v="59"/>
    <x v="6"/>
    <x v="10"/>
    <x v="209"/>
    <x v="348"/>
    <x v="6"/>
    <x v="2"/>
    <x v="2"/>
    <m/>
    <x v="4"/>
    <x v="12"/>
    <x v="1"/>
  </r>
  <r>
    <s v="M"/>
    <x v="90"/>
    <x v="6"/>
    <x v="10"/>
    <x v="209"/>
    <x v="348"/>
    <x v="6"/>
    <x v="2"/>
    <x v="2"/>
    <m/>
    <x v="4"/>
    <x v="12"/>
    <x v="1"/>
  </r>
  <r>
    <s v="M"/>
    <x v="120"/>
    <x v="6"/>
    <x v="10"/>
    <x v="209"/>
    <x v="348"/>
    <x v="6"/>
    <x v="2"/>
    <x v="2"/>
    <m/>
    <x v="4"/>
    <x v="12"/>
    <x v="3"/>
  </r>
  <r>
    <s v="M"/>
    <x v="151"/>
    <x v="6"/>
    <x v="10"/>
    <x v="209"/>
    <x v="348"/>
    <x v="6"/>
    <x v="2"/>
    <x v="2"/>
    <m/>
    <x v="4"/>
    <x v="12"/>
    <x v="4"/>
  </r>
  <r>
    <s v="M"/>
    <x v="181"/>
    <x v="6"/>
    <x v="10"/>
    <x v="209"/>
    <x v="348"/>
    <x v="6"/>
    <x v="2"/>
    <x v="2"/>
    <m/>
    <x v="4"/>
    <x v="12"/>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
  <r>
    <s v="F/P/K"/>
    <x v="0"/>
    <x v="0"/>
    <s v="Deutschland"/>
    <x v="0"/>
    <x v="0"/>
    <x v="0"/>
    <s v="in verzug"/>
    <s v="nein"/>
    <x v="0"/>
    <x v="0"/>
    <x v="0"/>
    <x v="0"/>
    <m/>
  </r>
  <r>
    <s v="F/P/K"/>
    <x v="1"/>
    <x v="1"/>
    <s v="Luxemburg"/>
    <x v="1"/>
    <x v="1"/>
    <x v="1"/>
    <s v="pünktlich"/>
    <s v="nein"/>
    <x v="0"/>
    <x v="0"/>
    <x v="0"/>
    <x v="0"/>
    <m/>
  </r>
  <r>
    <s v="F/P/K"/>
    <x v="2"/>
    <x v="2"/>
    <s v="Italia"/>
    <x v="2"/>
    <x v="2"/>
    <x v="2"/>
    <s v="in verzug"/>
    <s v="nein"/>
    <x v="0"/>
    <x v="0"/>
    <x v="0"/>
    <x v="0"/>
    <m/>
  </r>
  <r>
    <s v="F/P/K"/>
    <x v="3"/>
    <x v="3"/>
    <s v="Frankreich"/>
    <x v="3"/>
    <x v="3"/>
    <x v="3"/>
    <s v="in verzug"/>
    <s v="nein"/>
    <x v="0"/>
    <x v="0"/>
    <x v="0"/>
    <x v="0"/>
    <m/>
  </r>
  <r>
    <s v="F/P/K"/>
    <x v="4"/>
    <x v="4"/>
    <s v="Österreich"/>
    <x v="4"/>
    <x v="4"/>
    <x v="4"/>
    <s v="in verzug"/>
    <s v="nein"/>
    <x v="1"/>
    <x v="0"/>
    <x v="0"/>
    <x v="0"/>
    <m/>
  </r>
  <r>
    <s v="F/P/K"/>
    <x v="5"/>
    <x v="5"/>
    <s v="Schweiz"/>
    <x v="5"/>
    <x v="5"/>
    <x v="5"/>
    <s v="in verzug"/>
    <s v="nein"/>
    <x v="1"/>
    <x v="0"/>
    <x v="0"/>
    <x v="0"/>
    <m/>
  </r>
  <r>
    <s v="F/P/K"/>
    <x v="6"/>
    <x v="0"/>
    <s v="Kroatien"/>
    <x v="6"/>
    <x v="6"/>
    <x v="0"/>
    <s v="in verzug"/>
    <s v="nein"/>
    <x v="1"/>
    <x v="0"/>
    <x v="0"/>
    <x v="0"/>
    <m/>
  </r>
  <r>
    <s v="F/P/K"/>
    <x v="7"/>
    <x v="1"/>
    <s v="Polen"/>
    <x v="7"/>
    <x v="7"/>
    <x v="1"/>
    <s v="pünktlich"/>
    <s v="nein"/>
    <x v="1"/>
    <x v="0"/>
    <x v="0"/>
    <x v="0"/>
    <m/>
  </r>
  <r>
    <s v="F/P/K"/>
    <x v="8"/>
    <x v="2"/>
    <s v="Belgien"/>
    <x v="8"/>
    <x v="8"/>
    <x v="2"/>
    <s v="in verzug"/>
    <s v="nein"/>
    <x v="1"/>
    <x v="0"/>
    <x v="0"/>
    <x v="0"/>
    <m/>
  </r>
  <r>
    <s v="F/P/K"/>
    <x v="9"/>
    <x v="3"/>
    <s v="Niederlande"/>
    <x v="9"/>
    <x v="9"/>
    <x v="3"/>
    <s v="in verzug"/>
    <s v="nein"/>
    <x v="1"/>
    <x v="0"/>
    <x v="0"/>
    <x v="0"/>
    <m/>
  </r>
  <r>
    <s v="F/P/K"/>
    <x v="10"/>
    <x v="4"/>
    <s v="Deutschland"/>
    <x v="10"/>
    <x v="10"/>
    <x v="4"/>
    <s v="in verzug"/>
    <s v="nein"/>
    <x v="1"/>
    <x v="0"/>
    <x v="0"/>
    <x v="0"/>
    <m/>
  </r>
  <r>
    <s v="F/P/K"/>
    <x v="11"/>
    <x v="5"/>
    <s v="Luxemburg"/>
    <x v="11"/>
    <x v="11"/>
    <x v="5"/>
    <s v="in verzug"/>
    <s v="nein"/>
    <x v="1"/>
    <x v="0"/>
    <x v="0"/>
    <x v="0"/>
    <m/>
  </r>
  <r>
    <s v="F/P/K"/>
    <x v="12"/>
    <x v="0"/>
    <s v="Italia"/>
    <x v="12"/>
    <x v="12"/>
    <x v="0"/>
    <s v="in verzug"/>
    <s v="nein"/>
    <x v="1"/>
    <x v="0"/>
    <x v="0"/>
    <x v="0"/>
    <m/>
  </r>
  <r>
    <s v="F/P/K"/>
    <x v="13"/>
    <x v="1"/>
    <s v="Frankreich"/>
    <x v="13"/>
    <x v="13"/>
    <x v="1"/>
    <s v="in verzug"/>
    <s v="nein"/>
    <x v="1"/>
    <x v="0"/>
    <x v="0"/>
    <x v="0"/>
    <m/>
  </r>
  <r>
    <s v="F/P/K"/>
    <x v="14"/>
    <x v="2"/>
    <s v="Österreich"/>
    <x v="14"/>
    <x v="14"/>
    <x v="2"/>
    <s v="in verzug"/>
    <s v="nein"/>
    <x v="1"/>
    <x v="0"/>
    <x v="0"/>
    <x v="0"/>
    <m/>
  </r>
  <r>
    <s v="F/P/K"/>
    <x v="15"/>
    <x v="3"/>
    <s v="Schweiz"/>
    <x v="15"/>
    <x v="15"/>
    <x v="3"/>
    <s v="in verzug"/>
    <s v="nein"/>
    <x v="1"/>
    <x v="0"/>
    <x v="0"/>
    <x v="0"/>
    <m/>
  </r>
  <r>
    <s v="F/P/K"/>
    <x v="16"/>
    <x v="4"/>
    <s v="Kroatien"/>
    <x v="16"/>
    <x v="16"/>
    <x v="4"/>
    <s v="in verzug"/>
    <s v="nein"/>
    <x v="1"/>
    <x v="0"/>
    <x v="0"/>
    <x v="0"/>
    <m/>
  </r>
  <r>
    <s v="F/P/K"/>
    <x v="17"/>
    <x v="5"/>
    <s v="Polen"/>
    <x v="17"/>
    <x v="17"/>
    <x v="5"/>
    <s v="pünktlich"/>
    <s v="nein"/>
    <x v="0"/>
    <x v="0"/>
    <x v="0"/>
    <x v="0"/>
    <m/>
  </r>
  <r>
    <s v="F/P/K"/>
    <x v="18"/>
    <x v="0"/>
    <s v="Belgien"/>
    <x v="18"/>
    <x v="18"/>
    <x v="0"/>
    <s v="pünktlich"/>
    <s v="nein"/>
    <x v="0"/>
    <x v="0"/>
    <x v="0"/>
    <x v="0"/>
    <m/>
  </r>
  <r>
    <s v="F/P/K"/>
    <x v="19"/>
    <x v="1"/>
    <s v="Niederlande"/>
    <x v="19"/>
    <x v="19"/>
    <x v="1"/>
    <s v="in verzug"/>
    <s v="nein"/>
    <x v="0"/>
    <x v="0"/>
    <x v="0"/>
    <x v="0"/>
    <m/>
  </r>
  <r>
    <s v="F/P/K"/>
    <x v="20"/>
    <x v="2"/>
    <s v="Deutschland"/>
    <x v="20"/>
    <x v="20"/>
    <x v="2"/>
    <s v="in verzug"/>
    <s v="nein"/>
    <x v="0"/>
    <x v="0"/>
    <x v="0"/>
    <x v="0"/>
    <m/>
  </r>
  <r>
    <s v="F/P/K"/>
    <x v="21"/>
    <x v="3"/>
    <s v="Luxemburg"/>
    <x v="21"/>
    <x v="21"/>
    <x v="3"/>
    <s v="in verzug"/>
    <s v="nein"/>
    <x v="0"/>
    <x v="0"/>
    <x v="0"/>
    <x v="0"/>
    <m/>
  </r>
  <r>
    <s v="F/P/K"/>
    <x v="22"/>
    <x v="4"/>
    <s v="Italia"/>
    <x v="22"/>
    <x v="22"/>
    <x v="4"/>
    <s v="in verzug"/>
    <s v="nein"/>
    <x v="0"/>
    <x v="0"/>
    <x v="0"/>
    <x v="0"/>
    <m/>
  </r>
  <r>
    <s v="F/P/K"/>
    <x v="23"/>
    <x v="5"/>
    <s v="Frankreich"/>
    <x v="23"/>
    <x v="23"/>
    <x v="5"/>
    <s v="in verzug"/>
    <s v="nein"/>
    <x v="1"/>
    <x v="0"/>
    <x v="0"/>
    <x v="0"/>
    <m/>
  </r>
  <r>
    <s v="F/P/K"/>
    <x v="24"/>
    <x v="0"/>
    <s v="Österreich"/>
    <x v="24"/>
    <x v="24"/>
    <x v="0"/>
    <s v="in verzug"/>
    <s v="nein"/>
    <x v="2"/>
    <x v="0"/>
    <x v="0"/>
    <x v="0"/>
    <m/>
  </r>
  <r>
    <s v="F/P/K"/>
    <x v="25"/>
    <x v="1"/>
    <s v="Schweiz"/>
    <x v="25"/>
    <x v="25"/>
    <x v="1"/>
    <s v="in verzug"/>
    <s v="nein"/>
    <x v="1"/>
    <x v="0"/>
    <x v="0"/>
    <x v="0"/>
    <m/>
  </r>
  <r>
    <s v="F/P/K"/>
    <x v="26"/>
    <x v="2"/>
    <s v="Kroatien"/>
    <x v="26"/>
    <x v="26"/>
    <x v="2"/>
    <s v="in verzug"/>
    <s v="nein"/>
    <x v="2"/>
    <x v="0"/>
    <x v="0"/>
    <x v="0"/>
    <m/>
  </r>
  <r>
    <s v="F/P/K"/>
    <x v="27"/>
    <x v="3"/>
    <s v="Polen"/>
    <x v="27"/>
    <x v="27"/>
    <x v="3"/>
    <s v="in verzug"/>
    <s v="nein"/>
    <x v="2"/>
    <x v="0"/>
    <x v="0"/>
    <x v="0"/>
    <m/>
  </r>
  <r>
    <s v="F/P/K"/>
    <x v="28"/>
    <x v="4"/>
    <s v="Belgien"/>
    <x v="28"/>
    <x v="28"/>
    <x v="4"/>
    <s v="pünktlich"/>
    <s v="nein"/>
    <x v="1"/>
    <x v="0"/>
    <x v="0"/>
    <x v="0"/>
    <m/>
  </r>
  <r>
    <s v="F/P/K"/>
    <x v="29"/>
    <x v="5"/>
    <s v="Niederlande"/>
    <x v="29"/>
    <x v="29"/>
    <x v="5"/>
    <s v="pünktlich"/>
    <s v="nein"/>
    <x v="2"/>
    <x v="0"/>
    <x v="0"/>
    <x v="0"/>
    <m/>
  </r>
  <r>
    <s v="F/P/K"/>
    <x v="30"/>
    <x v="0"/>
    <s v="Deutschland"/>
    <x v="30"/>
    <x v="30"/>
    <x v="0"/>
    <s v="pünktlich"/>
    <s v="nein"/>
    <x v="1"/>
    <x v="0"/>
    <x v="0"/>
    <x v="0"/>
    <m/>
  </r>
  <r>
    <s v="F/P/K"/>
    <x v="31"/>
    <x v="1"/>
    <s v="Luxemburg"/>
    <x v="31"/>
    <x v="31"/>
    <x v="1"/>
    <s v="pünktlich"/>
    <s v="nein"/>
    <x v="2"/>
    <x v="0"/>
    <x v="0"/>
    <x v="0"/>
    <m/>
  </r>
  <r>
    <s v="F/P/K"/>
    <x v="32"/>
    <x v="2"/>
    <s v="Italia"/>
    <x v="32"/>
    <x v="32"/>
    <x v="2"/>
    <s v="pünktlich"/>
    <s v="nein"/>
    <x v="1"/>
    <x v="0"/>
    <x v="0"/>
    <x v="0"/>
    <m/>
  </r>
  <r>
    <s v="F/P/K"/>
    <x v="33"/>
    <x v="3"/>
    <s v="Frankreich"/>
    <x v="33"/>
    <x v="33"/>
    <x v="3"/>
    <s v="pünktlich"/>
    <s v="nein"/>
    <x v="0"/>
    <x v="0"/>
    <x v="0"/>
    <x v="0"/>
    <m/>
  </r>
  <r>
    <s v="F/P/K"/>
    <x v="34"/>
    <x v="4"/>
    <s v="Österreich"/>
    <x v="34"/>
    <x v="34"/>
    <x v="4"/>
    <s v="pünktlich"/>
    <s v="nein"/>
    <x v="0"/>
    <x v="0"/>
    <x v="0"/>
    <x v="0"/>
    <m/>
  </r>
  <r>
    <s v="F/P/K"/>
    <x v="35"/>
    <x v="5"/>
    <s v="Schweiz"/>
    <x v="35"/>
    <x v="35"/>
    <x v="5"/>
    <s v="pünktlich"/>
    <s v="nein"/>
    <x v="0"/>
    <x v="0"/>
    <x v="0"/>
    <x v="0"/>
    <m/>
  </r>
  <r>
    <s v="F/P/K"/>
    <x v="36"/>
    <x v="0"/>
    <s v="Kroatien"/>
    <x v="36"/>
    <x v="36"/>
    <x v="0"/>
    <s v="pünktlich"/>
    <s v="nein"/>
    <x v="0"/>
    <x v="0"/>
    <x v="0"/>
    <x v="0"/>
    <m/>
  </r>
  <r>
    <s v="F/P/K"/>
    <x v="37"/>
    <x v="1"/>
    <s v="Polen"/>
    <x v="37"/>
    <x v="37"/>
    <x v="1"/>
    <s v="pünktlich"/>
    <s v="nein"/>
    <x v="0"/>
    <x v="0"/>
    <x v="0"/>
    <x v="0"/>
    <m/>
  </r>
  <r>
    <s v="F/P/K"/>
    <x v="38"/>
    <x v="2"/>
    <s v="Belgien"/>
    <x v="38"/>
    <x v="38"/>
    <x v="2"/>
    <s v="pünktlich"/>
    <s v="nein"/>
    <x v="1"/>
    <x v="0"/>
    <x v="0"/>
    <x v="0"/>
    <m/>
  </r>
  <r>
    <s v="F/P/K"/>
    <x v="39"/>
    <x v="3"/>
    <s v="Niederlande"/>
    <x v="39"/>
    <x v="39"/>
    <x v="3"/>
    <s v="pünktlich"/>
    <s v="nein"/>
    <x v="1"/>
    <x v="0"/>
    <x v="0"/>
    <x v="0"/>
    <m/>
  </r>
  <r>
    <s v="F/P/K"/>
    <x v="40"/>
    <x v="4"/>
    <s v="Deutschland"/>
    <x v="40"/>
    <x v="40"/>
    <x v="4"/>
    <s v="pünktlich"/>
    <s v="nein"/>
    <x v="2"/>
    <x v="0"/>
    <x v="0"/>
    <x v="0"/>
    <m/>
  </r>
  <r>
    <s v="F/P/K"/>
    <x v="41"/>
    <x v="5"/>
    <s v="Luxemburg"/>
    <x v="41"/>
    <x v="41"/>
    <x v="5"/>
    <s v="pünktlich"/>
    <s v="nein"/>
    <x v="1"/>
    <x v="0"/>
    <x v="0"/>
    <x v="0"/>
    <m/>
  </r>
  <r>
    <s v="F/P/K"/>
    <x v="42"/>
    <x v="0"/>
    <s v="Italia"/>
    <x v="42"/>
    <x v="42"/>
    <x v="0"/>
    <s v="pünktlich"/>
    <s v="nein"/>
    <x v="1"/>
    <x v="0"/>
    <x v="0"/>
    <x v="0"/>
    <m/>
  </r>
  <r>
    <s v="F/P/K"/>
    <x v="43"/>
    <x v="1"/>
    <s v="Frankreich"/>
    <x v="43"/>
    <x v="43"/>
    <x v="1"/>
    <s v="pünktlich"/>
    <s v="nein"/>
    <x v="2"/>
    <x v="0"/>
    <x v="0"/>
    <x v="0"/>
    <m/>
  </r>
  <r>
    <s v="F/P/K"/>
    <x v="44"/>
    <x v="2"/>
    <s v="Österreich"/>
    <x v="44"/>
    <x v="44"/>
    <x v="2"/>
    <s v="pünktlich"/>
    <s v="nein"/>
    <x v="1"/>
    <x v="0"/>
    <x v="0"/>
    <x v="0"/>
    <m/>
  </r>
  <r>
    <s v="F/P/K"/>
    <x v="45"/>
    <x v="3"/>
    <s v="Schweiz"/>
    <x v="45"/>
    <x v="45"/>
    <x v="3"/>
    <s v="pünktlich"/>
    <s v="nein"/>
    <x v="2"/>
    <x v="0"/>
    <x v="0"/>
    <x v="0"/>
    <m/>
  </r>
  <r>
    <s v="F/P/K"/>
    <x v="46"/>
    <x v="4"/>
    <s v="Kroatien"/>
    <x v="46"/>
    <x v="46"/>
    <x v="4"/>
    <s v="pünktlich"/>
    <s v="nein"/>
    <x v="2"/>
    <x v="0"/>
    <x v="0"/>
    <x v="0"/>
    <m/>
  </r>
  <r>
    <s v="F/P/K"/>
    <x v="47"/>
    <x v="5"/>
    <s v="Polen"/>
    <x v="47"/>
    <x v="47"/>
    <x v="5"/>
    <s v="pünktlich"/>
    <s v="nein"/>
    <x v="3"/>
    <x v="0"/>
    <x v="0"/>
    <x v="0"/>
    <m/>
  </r>
  <r>
    <s v="F/P/K"/>
    <x v="48"/>
    <x v="0"/>
    <s v="Belgien"/>
    <x v="48"/>
    <x v="48"/>
    <x v="0"/>
    <s v="pünktlich"/>
    <s v="nein"/>
    <x v="3"/>
    <x v="0"/>
    <x v="0"/>
    <x v="0"/>
    <m/>
  </r>
  <r>
    <s v="F/P/K"/>
    <x v="49"/>
    <x v="1"/>
    <s v="Niederlande"/>
    <x v="49"/>
    <x v="49"/>
    <x v="1"/>
    <s v="in verzug"/>
    <s v="nein"/>
    <x v="1"/>
    <x v="0"/>
    <x v="0"/>
    <x v="0"/>
    <m/>
  </r>
  <r>
    <s v="F/P/K"/>
    <x v="50"/>
    <x v="2"/>
    <s v="Deutschland"/>
    <x v="50"/>
    <x v="50"/>
    <x v="2"/>
    <s v="in verzug"/>
    <s v="nein"/>
    <x v="2"/>
    <x v="0"/>
    <x v="0"/>
    <x v="0"/>
    <m/>
  </r>
  <r>
    <s v="F/P/K"/>
    <x v="51"/>
    <x v="3"/>
    <s v="Luxemburg"/>
    <x v="51"/>
    <x v="51"/>
    <x v="3"/>
    <s v="in verzug"/>
    <s v="nein"/>
    <x v="3"/>
    <x v="0"/>
    <x v="0"/>
    <x v="0"/>
    <m/>
  </r>
  <r>
    <s v="F/P/K"/>
    <x v="52"/>
    <x v="4"/>
    <s v="Italia"/>
    <x v="52"/>
    <x v="52"/>
    <x v="4"/>
    <s v="in verzug"/>
    <s v="nein"/>
    <x v="2"/>
    <x v="0"/>
    <x v="0"/>
    <x v="0"/>
    <m/>
  </r>
  <r>
    <s v="F/P/K"/>
    <x v="53"/>
    <x v="5"/>
    <s v="Frankreich"/>
    <x v="53"/>
    <x v="53"/>
    <x v="5"/>
    <s v="pünktlich"/>
    <s v="nein"/>
    <x v="0"/>
    <x v="0"/>
    <x v="0"/>
    <x v="0"/>
    <m/>
  </r>
  <r>
    <s v="F/P/K"/>
    <x v="54"/>
    <x v="0"/>
    <s v="Österreich"/>
    <x v="54"/>
    <x v="54"/>
    <x v="0"/>
    <s v="in verzug"/>
    <s v="nein"/>
    <x v="0"/>
    <x v="0"/>
    <x v="0"/>
    <x v="0"/>
    <m/>
  </r>
  <r>
    <s v="F/P/K"/>
    <x v="55"/>
    <x v="1"/>
    <s v="Schweiz"/>
    <x v="55"/>
    <x v="55"/>
    <x v="1"/>
    <s v="in verzug"/>
    <s v="nein"/>
    <x v="0"/>
    <x v="0"/>
    <x v="0"/>
    <x v="0"/>
    <m/>
  </r>
  <r>
    <s v="F/P/K"/>
    <x v="56"/>
    <x v="2"/>
    <s v="Kroatien"/>
    <x v="56"/>
    <x v="56"/>
    <x v="2"/>
    <s v="in verzug"/>
    <s v="nein"/>
    <x v="0"/>
    <x v="0"/>
    <x v="0"/>
    <x v="0"/>
    <m/>
  </r>
  <r>
    <s v="F/P/K"/>
    <x v="57"/>
    <x v="3"/>
    <s v="Polen"/>
    <x v="57"/>
    <x v="57"/>
    <x v="3"/>
    <s v="in verzug"/>
    <s v="nein"/>
    <x v="0"/>
    <x v="0"/>
    <x v="0"/>
    <x v="0"/>
    <m/>
  </r>
  <r>
    <s v="F/P/K"/>
    <x v="58"/>
    <x v="4"/>
    <s v="Belgien"/>
    <x v="58"/>
    <x v="58"/>
    <x v="4"/>
    <s v="in verzug"/>
    <s v="nein"/>
    <x v="0"/>
    <x v="0"/>
    <x v="0"/>
    <x v="0"/>
    <m/>
  </r>
  <r>
    <s v="F/P/K"/>
    <x v="59"/>
    <x v="5"/>
    <s v="Niederlande"/>
    <x v="59"/>
    <x v="59"/>
    <x v="5"/>
    <s v="in verzug"/>
    <s v="nein"/>
    <x v="2"/>
    <x v="0"/>
    <x v="0"/>
    <x v="0"/>
    <m/>
  </r>
  <r>
    <s v="F/P/K"/>
    <x v="60"/>
    <x v="0"/>
    <s v="Deutschland"/>
    <x v="60"/>
    <x v="60"/>
    <x v="0"/>
    <s v="pünktlich"/>
    <s v="nein"/>
    <x v="2"/>
    <x v="0"/>
    <x v="0"/>
    <x v="0"/>
    <m/>
  </r>
  <r>
    <s v="F/P/K"/>
    <x v="61"/>
    <x v="1"/>
    <s v="Luxemburg"/>
    <x v="61"/>
    <x v="61"/>
    <x v="1"/>
    <s v="pünktlich"/>
    <s v="nein"/>
    <x v="3"/>
    <x v="0"/>
    <x v="0"/>
    <x v="0"/>
    <m/>
  </r>
  <r>
    <s v="F/P/K"/>
    <x v="62"/>
    <x v="2"/>
    <s v="Italia"/>
    <x v="62"/>
    <x v="62"/>
    <x v="2"/>
    <s v="pünktlich"/>
    <s v="nein"/>
    <x v="2"/>
    <x v="0"/>
    <x v="0"/>
    <x v="0"/>
    <m/>
  </r>
  <r>
    <s v="F/P/K"/>
    <x v="63"/>
    <x v="3"/>
    <s v="Frankreich"/>
    <x v="63"/>
    <x v="63"/>
    <x v="3"/>
    <s v="pünktlich"/>
    <s v="nein"/>
    <x v="3"/>
    <x v="0"/>
    <x v="0"/>
    <x v="0"/>
    <m/>
  </r>
  <r>
    <s v="F/P/K"/>
    <x v="64"/>
    <x v="4"/>
    <s v="Österreich"/>
    <x v="64"/>
    <x v="64"/>
    <x v="4"/>
    <s v="pünktlich"/>
    <s v="nein"/>
    <x v="3"/>
    <x v="0"/>
    <x v="0"/>
    <x v="0"/>
    <m/>
  </r>
  <r>
    <s v="F/P/K"/>
    <x v="65"/>
    <x v="5"/>
    <s v="Schweiz"/>
    <x v="65"/>
    <x v="65"/>
    <x v="5"/>
    <s v="pünktlich"/>
    <s v="nein"/>
    <x v="3"/>
    <x v="0"/>
    <x v="0"/>
    <x v="0"/>
    <m/>
  </r>
  <r>
    <s v="F/P/K"/>
    <x v="66"/>
    <x v="0"/>
    <s v="Kroatien"/>
    <x v="66"/>
    <x v="66"/>
    <x v="0"/>
    <s v="pünktlich"/>
    <s v="nein"/>
    <x v="3"/>
    <x v="0"/>
    <x v="0"/>
    <x v="0"/>
    <m/>
  </r>
  <r>
    <s v="F/P/K"/>
    <x v="67"/>
    <x v="1"/>
    <s v="Polen"/>
    <x v="67"/>
    <x v="67"/>
    <x v="1"/>
    <s v="pünktlich"/>
    <s v="nein"/>
    <x v="3"/>
    <x v="0"/>
    <x v="0"/>
    <x v="0"/>
    <m/>
  </r>
  <r>
    <s v="F/P/K"/>
    <x v="68"/>
    <x v="2"/>
    <s v="Belgien"/>
    <x v="68"/>
    <x v="68"/>
    <x v="2"/>
    <s v="pünktlich"/>
    <s v="nein"/>
    <x v="2"/>
    <x v="0"/>
    <x v="0"/>
    <x v="0"/>
    <m/>
  </r>
  <r>
    <s v="F/P/K"/>
    <x v="69"/>
    <x v="3"/>
    <s v="Niederlande"/>
    <x v="69"/>
    <x v="69"/>
    <x v="3"/>
    <s v="pünktlich"/>
    <s v="nein"/>
    <x v="2"/>
    <x v="0"/>
    <x v="0"/>
    <x v="0"/>
    <m/>
  </r>
  <r>
    <s v="F/P/K"/>
    <x v="70"/>
    <x v="4"/>
    <s v="Deutschland"/>
    <x v="70"/>
    <x v="41"/>
    <x v="4"/>
    <s v="in verzug"/>
    <s v="nein"/>
    <x v="2"/>
    <x v="0"/>
    <x v="0"/>
    <x v="0"/>
    <m/>
  </r>
  <r>
    <s v="F/P/K"/>
    <x v="71"/>
    <x v="5"/>
    <s v="Luxemburg"/>
    <x v="71"/>
    <x v="70"/>
    <x v="5"/>
    <s v="in verzug"/>
    <s v="nein"/>
    <x v="2"/>
    <x v="0"/>
    <x v="0"/>
    <x v="0"/>
    <m/>
  </r>
  <r>
    <s v="F/P/K"/>
    <x v="72"/>
    <x v="0"/>
    <s v="Italia"/>
    <x v="72"/>
    <x v="71"/>
    <x v="0"/>
    <s v="in verzug"/>
    <s v="nein"/>
    <x v="2"/>
    <x v="0"/>
    <x v="0"/>
    <x v="0"/>
    <m/>
  </r>
  <r>
    <s v="F/P/K"/>
    <x v="73"/>
    <x v="1"/>
    <s v="Frankreich"/>
    <x v="73"/>
    <x v="72"/>
    <x v="1"/>
    <s v="in verzug"/>
    <s v="nein"/>
    <x v="2"/>
    <x v="0"/>
    <x v="0"/>
    <x v="0"/>
    <m/>
  </r>
  <r>
    <s v="F/P/K"/>
    <x v="74"/>
    <x v="2"/>
    <s v="Österreich"/>
    <x v="74"/>
    <x v="73"/>
    <x v="2"/>
    <s v="in verzug"/>
    <s v="nein"/>
    <x v="3"/>
    <x v="0"/>
    <x v="0"/>
    <x v="0"/>
    <m/>
  </r>
  <r>
    <s v="F/P/K"/>
    <x v="75"/>
    <x v="3"/>
    <s v="Schweiz"/>
    <x v="75"/>
    <x v="74"/>
    <x v="3"/>
    <s v="in verzug"/>
    <s v="nein"/>
    <x v="3"/>
    <x v="0"/>
    <x v="0"/>
    <x v="0"/>
    <m/>
  </r>
  <r>
    <s v="F/P/K"/>
    <x v="76"/>
    <x v="4"/>
    <s v="Kroatien"/>
    <x v="76"/>
    <x v="75"/>
    <x v="4"/>
    <s v="in verzug"/>
    <s v="nein"/>
    <x v="3"/>
    <x v="0"/>
    <x v="0"/>
    <x v="0"/>
    <m/>
  </r>
  <r>
    <s v="F/P/K"/>
    <x v="77"/>
    <x v="5"/>
    <s v="Polen"/>
    <x v="77"/>
    <x v="76"/>
    <x v="5"/>
    <s v="in verzug"/>
    <s v="nein"/>
    <x v="3"/>
    <x v="0"/>
    <x v="0"/>
    <x v="0"/>
    <m/>
  </r>
  <r>
    <s v="F/P/K"/>
    <x v="78"/>
    <x v="0"/>
    <s v="Belgien"/>
    <x v="78"/>
    <x v="77"/>
    <x v="0"/>
    <s v="in verzug"/>
    <s v="nein"/>
    <x v="0"/>
    <x v="0"/>
    <x v="0"/>
    <x v="0"/>
    <m/>
  </r>
  <r>
    <s v="F/P/K"/>
    <x v="79"/>
    <x v="1"/>
    <s v="Niederlande"/>
    <x v="79"/>
    <x v="78"/>
    <x v="1"/>
    <s v="in verzug"/>
    <s v="nein"/>
    <x v="0"/>
    <x v="0"/>
    <x v="0"/>
    <x v="0"/>
    <m/>
  </r>
  <r>
    <s v="F/P/K"/>
    <x v="80"/>
    <x v="2"/>
    <s v="Deutschland"/>
    <x v="80"/>
    <x v="79"/>
    <x v="2"/>
    <s v="in verzug"/>
    <s v="nein"/>
    <x v="0"/>
    <x v="0"/>
    <x v="0"/>
    <x v="0"/>
    <m/>
  </r>
  <r>
    <s v="F/P/K"/>
    <x v="81"/>
    <x v="3"/>
    <s v="Luxemburg"/>
    <x v="81"/>
    <x v="75"/>
    <x v="3"/>
    <s v="in verzug"/>
    <s v="nein"/>
    <x v="3"/>
    <x v="0"/>
    <x v="0"/>
    <x v="0"/>
    <m/>
  </r>
  <r>
    <s v="F/P/K"/>
    <x v="82"/>
    <x v="4"/>
    <s v="Italia"/>
    <x v="82"/>
    <x v="80"/>
    <x v="4"/>
    <s v="in verzug"/>
    <s v="nein"/>
    <x v="3"/>
    <x v="0"/>
    <x v="0"/>
    <x v="0"/>
    <m/>
  </r>
  <r>
    <s v="F/P/K"/>
    <x v="83"/>
    <x v="5"/>
    <s v="Frankreich"/>
    <x v="83"/>
    <x v="81"/>
    <x v="5"/>
    <s v="pünktlich"/>
    <s v="nein"/>
    <x v="3"/>
    <x v="0"/>
    <x v="0"/>
    <x v="0"/>
    <m/>
  </r>
  <r>
    <s v="F/P/K"/>
    <x v="84"/>
    <x v="0"/>
    <s v="Österreich"/>
    <x v="84"/>
    <x v="82"/>
    <x v="0"/>
    <s v="pünktlich"/>
    <s v="nein"/>
    <x v="3"/>
    <x v="0"/>
    <x v="0"/>
    <x v="0"/>
    <m/>
  </r>
  <r>
    <s v="F/P/K"/>
    <x v="85"/>
    <x v="1"/>
    <s v="Schweiz"/>
    <x v="85"/>
    <x v="83"/>
    <x v="1"/>
    <s v="pünktlich"/>
    <s v="nein"/>
    <x v="2"/>
    <x v="0"/>
    <x v="0"/>
    <x v="0"/>
    <m/>
  </r>
  <r>
    <s v="F/P/K"/>
    <x v="86"/>
    <x v="2"/>
    <s v="Kroatien"/>
    <x v="86"/>
    <x v="84"/>
    <x v="2"/>
    <s v="pünktlich"/>
    <s v="nein"/>
    <x v="2"/>
    <x v="0"/>
    <x v="0"/>
    <x v="0"/>
    <m/>
  </r>
  <r>
    <s v="F/P/K"/>
    <x v="87"/>
    <x v="3"/>
    <s v="Polen"/>
    <x v="87"/>
    <x v="85"/>
    <x v="3"/>
    <s v="pünktlich"/>
    <s v="nein"/>
    <x v="2"/>
    <x v="0"/>
    <x v="0"/>
    <x v="0"/>
    <m/>
  </r>
  <r>
    <s v="F/P/K"/>
    <x v="88"/>
    <x v="4"/>
    <s v="Belgien"/>
    <x v="88"/>
    <x v="86"/>
    <x v="4"/>
    <s v="pünktlich"/>
    <s v="nein"/>
    <x v="1"/>
    <x v="0"/>
    <x v="0"/>
    <x v="0"/>
    <m/>
  </r>
  <r>
    <s v="F/P/K"/>
    <x v="89"/>
    <x v="5"/>
    <s v="Niederlande"/>
    <x v="89"/>
    <x v="87"/>
    <x v="5"/>
    <s v="pünktlich"/>
    <s v="nein"/>
    <x v="1"/>
    <x v="0"/>
    <x v="0"/>
    <x v="0"/>
    <m/>
  </r>
  <r>
    <s v="F/P/K"/>
    <x v="90"/>
    <x v="0"/>
    <s v="Deutschland"/>
    <x v="90"/>
    <x v="88"/>
    <x v="0"/>
    <s v="pünktlich"/>
    <s v="nein"/>
    <x v="1"/>
    <x v="0"/>
    <x v="0"/>
    <x v="0"/>
    <m/>
  </r>
  <r>
    <s v="F/P/K"/>
    <x v="91"/>
    <x v="1"/>
    <s v="Luxemburg"/>
    <x v="91"/>
    <x v="89"/>
    <x v="1"/>
    <s v="pünktlich"/>
    <s v="nein"/>
    <x v="1"/>
    <x v="0"/>
    <x v="0"/>
    <x v="0"/>
    <m/>
  </r>
  <r>
    <s v="F/P/K"/>
    <x v="92"/>
    <x v="2"/>
    <s v="Italia"/>
    <x v="92"/>
    <x v="90"/>
    <x v="2"/>
    <s v="pünktlich"/>
    <s v="nein"/>
    <x v="3"/>
    <x v="0"/>
    <x v="0"/>
    <x v="0"/>
    <m/>
  </r>
  <r>
    <s v="F/P/K"/>
    <x v="93"/>
    <x v="3"/>
    <s v="Frankreich"/>
    <x v="93"/>
    <x v="91"/>
    <x v="3"/>
    <s v="pünktlich"/>
    <s v="nein"/>
    <x v="3"/>
    <x v="0"/>
    <x v="0"/>
    <x v="0"/>
    <m/>
  </r>
  <r>
    <s v="F/P/K"/>
    <x v="94"/>
    <x v="4"/>
    <s v="Österreich"/>
    <x v="94"/>
    <x v="92"/>
    <x v="4"/>
    <s v="in verzug"/>
    <s v="nein"/>
    <x v="1"/>
    <x v="0"/>
    <x v="0"/>
    <x v="0"/>
    <m/>
  </r>
  <r>
    <s v="F/P/K"/>
    <x v="95"/>
    <x v="5"/>
    <s v="Schweiz"/>
    <x v="95"/>
    <x v="93"/>
    <x v="5"/>
    <s v="in verzug"/>
    <s v="nein"/>
    <x v="1"/>
    <x v="0"/>
    <x v="0"/>
    <x v="0"/>
    <m/>
  </r>
  <r>
    <s v="F/P/K"/>
    <x v="96"/>
    <x v="0"/>
    <s v="Kroatien"/>
    <x v="96"/>
    <x v="94"/>
    <x v="0"/>
    <s v="in verzug"/>
    <s v="nein"/>
    <x v="1"/>
    <x v="0"/>
    <x v="0"/>
    <x v="0"/>
    <m/>
  </r>
  <r>
    <s v="F/P/K"/>
    <x v="97"/>
    <x v="1"/>
    <s v="Polen"/>
    <x v="97"/>
    <x v="95"/>
    <x v="1"/>
    <s v="in verzug"/>
    <s v="nein"/>
    <x v="1"/>
    <x v="0"/>
    <x v="0"/>
    <x v="0"/>
    <m/>
  </r>
  <r>
    <s v="F/P/K"/>
    <x v="98"/>
    <x v="2"/>
    <s v="Belgien"/>
    <x v="7"/>
    <x v="96"/>
    <x v="2"/>
    <s v="in verzug"/>
    <s v="nein"/>
    <x v="1"/>
    <x v="0"/>
    <x v="0"/>
    <x v="0"/>
    <m/>
  </r>
  <r>
    <s v="F/P/K"/>
    <x v="99"/>
    <x v="3"/>
    <s v="Niederlande"/>
    <x v="98"/>
    <x v="97"/>
    <x v="3"/>
    <s v="in verzug"/>
    <s v="nein"/>
    <x v="0"/>
    <x v="0"/>
    <x v="0"/>
    <x v="0"/>
    <m/>
  </r>
  <r>
    <s v="F/P/K"/>
    <x v="100"/>
    <x v="4"/>
    <s v="Deutschland"/>
    <x v="99"/>
    <x v="98"/>
    <x v="4"/>
    <s v="in verzug"/>
    <s v="nein"/>
    <x v="1"/>
    <x v="0"/>
    <x v="0"/>
    <x v="0"/>
    <m/>
  </r>
  <r>
    <s v="F/P/K"/>
    <x v="101"/>
    <x v="5"/>
    <s v="Luxemburg"/>
    <x v="100"/>
    <x v="99"/>
    <x v="5"/>
    <s v="in verzug"/>
    <s v="nein"/>
    <x v="1"/>
    <x v="0"/>
    <x v="0"/>
    <x v="0"/>
    <m/>
  </r>
  <r>
    <s v="F/P/K"/>
    <x v="102"/>
    <x v="0"/>
    <s v="Italia"/>
    <x v="101"/>
    <x v="100"/>
    <x v="0"/>
    <s v="pünktlich"/>
    <s v="nein"/>
    <x v="1"/>
    <x v="0"/>
    <x v="0"/>
    <x v="0"/>
    <m/>
  </r>
  <r>
    <s v="F/P/K"/>
    <x v="103"/>
    <x v="1"/>
    <s v="Frankreich"/>
    <x v="102"/>
    <x v="101"/>
    <x v="1"/>
    <s v="pünktlich"/>
    <s v="nein"/>
    <x v="1"/>
    <x v="0"/>
    <x v="0"/>
    <x v="0"/>
    <m/>
  </r>
  <r>
    <s v="F/P/K"/>
    <x v="104"/>
    <x v="2"/>
    <s v="Österreich"/>
    <x v="103"/>
    <x v="102"/>
    <x v="2"/>
    <s v="pünktlich"/>
    <s v="nein"/>
    <x v="1"/>
    <x v="0"/>
    <x v="0"/>
    <x v="0"/>
    <m/>
  </r>
  <r>
    <s v="F/P/K"/>
    <x v="105"/>
    <x v="3"/>
    <s v="Schweiz"/>
    <x v="104"/>
    <x v="103"/>
    <x v="3"/>
    <s v="pünktlich"/>
    <s v="nein"/>
    <x v="1"/>
    <x v="0"/>
    <x v="0"/>
    <x v="0"/>
    <m/>
  </r>
  <r>
    <s v="F/P/K"/>
    <x v="106"/>
    <x v="4"/>
    <s v="Kroatien"/>
    <x v="105"/>
    <x v="104"/>
    <x v="4"/>
    <s v="pünktlich"/>
    <s v="nein"/>
    <x v="1"/>
    <x v="0"/>
    <x v="0"/>
    <x v="0"/>
    <m/>
  </r>
  <r>
    <s v="F/P/K"/>
    <x v="107"/>
    <x v="5"/>
    <s v="Polen"/>
    <x v="106"/>
    <x v="105"/>
    <x v="5"/>
    <s v="pünktlich"/>
    <s v="nein"/>
    <x v="1"/>
    <x v="0"/>
    <x v="0"/>
    <x v="0"/>
    <m/>
  </r>
  <r>
    <s v="F/P/K"/>
    <x v="108"/>
    <x v="0"/>
    <s v="Belgien"/>
    <x v="107"/>
    <x v="106"/>
    <x v="0"/>
    <s v="pünktlich"/>
    <s v="nein"/>
    <x v="1"/>
    <x v="0"/>
    <x v="0"/>
    <x v="0"/>
    <m/>
  </r>
  <r>
    <s v="F/P/K"/>
    <x v="109"/>
    <x v="1"/>
    <s v="Niederlande"/>
    <x v="108"/>
    <x v="107"/>
    <x v="1"/>
    <s v="pünktlich"/>
    <s v="nein"/>
    <x v="1"/>
    <x v="0"/>
    <x v="0"/>
    <x v="0"/>
    <m/>
  </r>
  <r>
    <s v="F/P/K"/>
    <x v="110"/>
    <x v="2"/>
    <s v="Deutschland"/>
    <x v="109"/>
    <x v="108"/>
    <x v="2"/>
    <s v="pünktlich"/>
    <s v="nein"/>
    <x v="1"/>
    <x v="0"/>
    <x v="0"/>
    <x v="0"/>
    <m/>
  </r>
  <r>
    <s v="F/P/K"/>
    <x v="111"/>
    <x v="3"/>
    <s v="Luxemburg"/>
    <x v="110"/>
    <x v="109"/>
    <x v="3"/>
    <s v="pünktlich"/>
    <s v="nein"/>
    <x v="1"/>
    <x v="0"/>
    <x v="0"/>
    <x v="0"/>
    <m/>
  </r>
  <r>
    <s v="F/P/K"/>
    <x v="112"/>
    <x v="4"/>
    <s v="Italia"/>
    <x v="111"/>
    <x v="110"/>
    <x v="4"/>
    <s v="pünktlich"/>
    <s v="nein"/>
    <x v="4"/>
    <x v="0"/>
    <x v="0"/>
    <x v="0"/>
    <m/>
  </r>
  <r>
    <s v="F/P/K"/>
    <x v="113"/>
    <x v="5"/>
    <s v="Frankreich"/>
    <x v="112"/>
    <x v="111"/>
    <x v="5"/>
    <s v="pünktlich"/>
    <s v="nein"/>
    <x v="4"/>
    <x v="0"/>
    <x v="0"/>
    <x v="0"/>
    <m/>
  </r>
  <r>
    <s v="F/P/K"/>
    <x v="114"/>
    <x v="0"/>
    <s v="Österreich"/>
    <x v="113"/>
    <x v="112"/>
    <x v="0"/>
    <s v="pünktlich"/>
    <s v="nein"/>
    <x v="4"/>
    <x v="0"/>
    <x v="0"/>
    <x v="0"/>
    <m/>
  </r>
  <r>
    <s v="F/P/K"/>
    <x v="115"/>
    <x v="1"/>
    <s v="Schweiz"/>
    <x v="114"/>
    <x v="113"/>
    <x v="1"/>
    <s v="pünktlich"/>
    <s v="nein"/>
    <x v="1"/>
    <x v="0"/>
    <x v="0"/>
    <x v="0"/>
    <m/>
  </r>
  <r>
    <s v="F/P/K"/>
    <x v="116"/>
    <x v="2"/>
    <s v="Kroatien"/>
    <x v="115"/>
    <x v="114"/>
    <x v="2"/>
    <s v="pünktlich"/>
    <s v="nein"/>
    <x v="4"/>
    <x v="0"/>
    <x v="0"/>
    <x v="0"/>
    <m/>
  </r>
  <r>
    <s v="F/P/K"/>
    <x v="117"/>
    <x v="3"/>
    <s v="Polen"/>
    <x v="116"/>
    <x v="115"/>
    <x v="3"/>
    <s v="pünktlich"/>
    <s v="nein"/>
    <x v="4"/>
    <x v="0"/>
    <x v="0"/>
    <x v="0"/>
    <m/>
  </r>
  <r>
    <s v="F/P/K"/>
    <x v="118"/>
    <x v="4"/>
    <s v="Belgien"/>
    <x v="117"/>
    <x v="116"/>
    <x v="4"/>
    <s v="pünktlich"/>
    <s v="nein"/>
    <x v="4"/>
    <x v="0"/>
    <x v="0"/>
    <x v="0"/>
    <m/>
  </r>
  <r>
    <s v="F/P/K"/>
    <x v="119"/>
    <x v="5"/>
    <s v="Niederlande"/>
    <x v="118"/>
    <x v="117"/>
    <x v="5"/>
    <s v="in verzug"/>
    <s v="nein"/>
    <x v="1"/>
    <x v="0"/>
    <x v="0"/>
    <x v="0"/>
    <m/>
  </r>
  <r>
    <s v="F/P/K"/>
    <x v="120"/>
    <x v="0"/>
    <s v="Deutschland"/>
    <x v="119"/>
    <x v="118"/>
    <x v="0"/>
    <s v="in verzug"/>
    <s v="nein"/>
    <x v="4"/>
    <x v="0"/>
    <x v="0"/>
    <x v="0"/>
    <m/>
  </r>
  <r>
    <s v="F/P/K"/>
    <x v="121"/>
    <x v="1"/>
    <s v="Luxemburg"/>
    <x v="120"/>
    <x v="119"/>
    <x v="1"/>
    <s v="in verzug"/>
    <s v="nein"/>
    <x v="4"/>
    <x v="0"/>
    <x v="0"/>
    <x v="0"/>
    <m/>
  </r>
  <r>
    <s v="F/P/K"/>
    <x v="122"/>
    <x v="2"/>
    <s v="Italia"/>
    <x v="121"/>
    <x v="120"/>
    <x v="2"/>
    <s v="in verzug"/>
    <s v="nein"/>
    <x v="4"/>
    <x v="0"/>
    <x v="0"/>
    <x v="0"/>
    <m/>
  </r>
  <r>
    <s v="F/P/K"/>
    <x v="123"/>
    <x v="3"/>
    <s v="Frankreich"/>
    <x v="122"/>
    <x v="121"/>
    <x v="3"/>
    <s v="in verzug"/>
    <s v="nein"/>
    <x v="1"/>
    <x v="0"/>
    <x v="0"/>
    <x v="0"/>
    <m/>
  </r>
  <r>
    <s v="F/P/K"/>
    <x v="124"/>
    <x v="4"/>
    <s v="Österreich"/>
    <x v="123"/>
    <x v="122"/>
    <x v="4"/>
    <s v="in verzug"/>
    <s v="nein"/>
    <x v="1"/>
    <x v="0"/>
    <x v="0"/>
    <x v="0"/>
    <m/>
  </r>
  <r>
    <s v="F/P/K"/>
    <x v="125"/>
    <x v="5"/>
    <s v="Schweiz"/>
    <x v="124"/>
    <x v="123"/>
    <x v="5"/>
    <s v="in verzug"/>
    <s v="nein"/>
    <x v="1"/>
    <x v="0"/>
    <x v="0"/>
    <x v="0"/>
    <m/>
  </r>
  <r>
    <s v="F/P/K"/>
    <x v="126"/>
    <x v="0"/>
    <s v="Kroatien"/>
    <x v="125"/>
    <x v="124"/>
    <x v="0"/>
    <s v="in verzug"/>
    <s v="ja"/>
    <x v="1"/>
    <x v="0"/>
    <x v="0"/>
    <x v="0"/>
    <m/>
  </r>
  <r>
    <s v="F/P/K"/>
    <x v="127"/>
    <x v="1"/>
    <s v="Polen"/>
    <x v="126"/>
    <x v="125"/>
    <x v="1"/>
    <s v="pünktlich"/>
    <s v="nein"/>
    <x v="1"/>
    <x v="0"/>
    <x v="0"/>
    <x v="0"/>
    <m/>
  </r>
  <r>
    <s v="F/P/K"/>
    <x v="128"/>
    <x v="2"/>
    <s v="Belgien"/>
    <x v="127"/>
    <x v="126"/>
    <x v="2"/>
    <s v="pünktlich"/>
    <s v="ja"/>
    <x v="1"/>
    <x v="0"/>
    <x v="0"/>
    <x v="0"/>
    <m/>
  </r>
  <r>
    <s v="F/P/K"/>
    <x v="129"/>
    <x v="3"/>
    <s v="Niederlande"/>
    <x v="128"/>
    <x v="127"/>
    <x v="3"/>
    <s v="pünktlich"/>
    <s v="nein"/>
    <x v="1"/>
    <x v="0"/>
    <x v="0"/>
    <x v="0"/>
    <m/>
  </r>
  <r>
    <s v="F/P/K"/>
    <x v="130"/>
    <x v="4"/>
    <s v="Deutschland"/>
    <x v="129"/>
    <x v="128"/>
    <x v="4"/>
    <s v="pünktlich"/>
    <s v="nein"/>
    <x v="1"/>
    <x v="0"/>
    <x v="0"/>
    <x v="0"/>
    <m/>
  </r>
  <r>
    <s v="F/P/K"/>
    <x v="131"/>
    <x v="5"/>
    <s v="Luxemburg"/>
    <x v="130"/>
    <x v="129"/>
    <x v="5"/>
    <s v="pünktlich"/>
    <s v="nein"/>
    <x v="1"/>
    <x v="0"/>
    <x v="0"/>
    <x v="0"/>
    <m/>
  </r>
  <r>
    <s v="F/P/K"/>
    <x v="132"/>
    <x v="0"/>
    <s v="Italia"/>
    <x v="131"/>
    <x v="130"/>
    <x v="0"/>
    <s v="pünktlich"/>
    <s v="nein"/>
    <x v="4"/>
    <x v="0"/>
    <x v="0"/>
    <x v="0"/>
    <m/>
  </r>
  <r>
    <s v="F/P/K"/>
    <x v="133"/>
    <x v="1"/>
    <s v="Frankreich"/>
    <x v="132"/>
    <x v="131"/>
    <x v="1"/>
    <s v="pünktlich"/>
    <s v="ja"/>
    <x v="1"/>
    <x v="0"/>
    <x v="0"/>
    <x v="0"/>
    <m/>
  </r>
  <r>
    <s v="F/P/K"/>
    <x v="134"/>
    <x v="2"/>
    <s v="Österreich"/>
    <x v="133"/>
    <x v="132"/>
    <x v="2"/>
    <s v="pünktlich"/>
    <s v="nein"/>
    <x v="1"/>
    <x v="0"/>
    <x v="0"/>
    <x v="0"/>
    <m/>
  </r>
  <r>
    <s v="F/P/K"/>
    <x v="135"/>
    <x v="3"/>
    <s v="Schweiz"/>
    <x v="134"/>
    <x v="133"/>
    <x v="3"/>
    <s v="pünktlich"/>
    <s v="nein"/>
    <x v="1"/>
    <x v="0"/>
    <x v="0"/>
    <x v="0"/>
    <m/>
  </r>
  <r>
    <s v="F/P/K"/>
    <x v="136"/>
    <x v="4"/>
    <s v="Kroatien"/>
    <x v="135"/>
    <x v="134"/>
    <x v="4"/>
    <s v="pünktlich"/>
    <s v="nein"/>
    <x v="4"/>
    <x v="0"/>
    <x v="0"/>
    <x v="0"/>
    <m/>
  </r>
  <r>
    <s v="F/P/K"/>
    <x v="137"/>
    <x v="5"/>
    <s v="Polen"/>
    <x v="136"/>
    <x v="135"/>
    <x v="5"/>
    <s v="pünktlich"/>
    <s v="nein"/>
    <x v="4"/>
    <x v="0"/>
    <x v="0"/>
    <x v="0"/>
    <m/>
  </r>
  <r>
    <s v="F/P/K"/>
    <x v="138"/>
    <x v="0"/>
    <s v="Belgien"/>
    <x v="137"/>
    <x v="136"/>
    <x v="0"/>
    <s v="pünktlich"/>
    <s v="ja"/>
    <x v="4"/>
    <x v="0"/>
    <x v="0"/>
    <x v="0"/>
    <m/>
  </r>
  <r>
    <s v="F/P/K"/>
    <x v="139"/>
    <x v="1"/>
    <s v="Niederlande"/>
    <x v="138"/>
    <x v="137"/>
    <x v="1"/>
    <s v="pünktlich"/>
    <s v="nein"/>
    <x v="4"/>
    <x v="0"/>
    <x v="0"/>
    <x v="0"/>
    <m/>
  </r>
  <r>
    <s v="F/P/K"/>
    <x v="140"/>
    <x v="2"/>
    <s v="Deutschland"/>
    <x v="139"/>
    <x v="138"/>
    <x v="2"/>
    <s v="pünktlich"/>
    <s v="nein"/>
    <x v="4"/>
    <x v="0"/>
    <x v="0"/>
    <x v="0"/>
    <m/>
  </r>
  <r>
    <s v="F/P/K"/>
    <x v="141"/>
    <x v="3"/>
    <s v="Luxemburg"/>
    <x v="140"/>
    <x v="139"/>
    <x v="3"/>
    <s v="in verzug"/>
    <s v="nein"/>
    <x v="4"/>
    <x v="0"/>
    <x v="0"/>
    <x v="0"/>
    <m/>
  </r>
  <r>
    <s v="F/P/K"/>
    <x v="142"/>
    <x v="4"/>
    <s v="Italia"/>
    <x v="141"/>
    <x v="140"/>
    <x v="4"/>
    <s v="in verzug"/>
    <s v="nein"/>
    <x v="1"/>
    <x v="0"/>
    <x v="0"/>
    <x v="0"/>
    <m/>
  </r>
  <r>
    <s v="F/P/K"/>
    <x v="143"/>
    <x v="5"/>
    <s v="Frankreich"/>
    <x v="142"/>
    <x v="141"/>
    <x v="5"/>
    <s v="in verzug"/>
    <s v="nein"/>
    <x v="1"/>
    <x v="0"/>
    <x v="0"/>
    <x v="0"/>
    <m/>
  </r>
  <r>
    <s v="F/P/K"/>
    <x v="144"/>
    <x v="0"/>
    <s v="Österreich"/>
    <x v="143"/>
    <x v="67"/>
    <x v="0"/>
    <s v="in verzug"/>
    <s v="nein"/>
    <x v="1"/>
    <x v="0"/>
    <x v="0"/>
    <x v="0"/>
    <m/>
  </r>
  <r>
    <s v="F/P/K"/>
    <x v="145"/>
    <x v="1"/>
    <s v="Schweiz"/>
    <x v="144"/>
    <x v="142"/>
    <x v="1"/>
    <s v="in verzug"/>
    <s v="nein"/>
    <x v="1"/>
    <x v="0"/>
    <x v="0"/>
    <x v="0"/>
    <m/>
  </r>
  <r>
    <s v="F/P/K"/>
    <x v="146"/>
    <x v="2"/>
    <s v="Kroatien"/>
    <x v="145"/>
    <x v="143"/>
    <x v="2"/>
    <s v="in verzug"/>
    <s v="nein"/>
    <x v="1"/>
    <x v="0"/>
    <x v="0"/>
    <x v="0"/>
    <m/>
  </r>
  <r>
    <s v="F/P/K"/>
    <x v="147"/>
    <x v="3"/>
    <s v="Polen"/>
    <x v="146"/>
    <x v="144"/>
    <x v="3"/>
    <s v="in verzug"/>
    <s v="nein"/>
    <x v="1"/>
    <x v="0"/>
    <x v="0"/>
    <x v="0"/>
    <m/>
  </r>
  <r>
    <s v="F/P/K"/>
    <x v="148"/>
    <x v="4"/>
    <s v="Belgien"/>
    <x v="147"/>
    <x v="145"/>
    <x v="4"/>
    <s v="pünktlich"/>
    <s v="nein"/>
    <x v="4"/>
    <x v="0"/>
    <x v="0"/>
    <x v="0"/>
    <m/>
  </r>
  <r>
    <s v="F/P/K"/>
    <x v="149"/>
    <x v="5"/>
    <s v="Niederlande"/>
    <x v="148"/>
    <x v="146"/>
    <x v="5"/>
    <s v="pünktlich"/>
    <s v="nein"/>
    <x v="4"/>
    <x v="0"/>
    <x v="0"/>
    <x v="0"/>
    <m/>
  </r>
  <r>
    <s v="F/P/K"/>
    <x v="150"/>
    <x v="0"/>
    <s v="Deutschland"/>
    <x v="149"/>
    <x v="147"/>
    <x v="0"/>
    <s v="pünktlich"/>
    <s v="nein"/>
    <x v="4"/>
    <x v="0"/>
    <x v="0"/>
    <x v="0"/>
    <m/>
  </r>
  <r>
    <s v="F/P/K"/>
    <x v="151"/>
    <x v="1"/>
    <s v="Luxemburg"/>
    <x v="150"/>
    <x v="148"/>
    <x v="1"/>
    <s v="pünktlich"/>
    <s v="nein"/>
    <x v="4"/>
    <x v="0"/>
    <x v="0"/>
    <x v="0"/>
    <m/>
  </r>
  <r>
    <s v="F/P/K"/>
    <x v="152"/>
    <x v="2"/>
    <s v="Italia"/>
    <x v="151"/>
    <x v="149"/>
    <x v="2"/>
    <s v="pünktlich"/>
    <s v="nein"/>
    <x v="1"/>
    <x v="0"/>
    <x v="0"/>
    <x v="0"/>
    <m/>
  </r>
  <r>
    <s v="F/P/K"/>
    <x v="153"/>
    <x v="3"/>
    <s v="Frankreich"/>
    <x v="152"/>
    <x v="150"/>
    <x v="3"/>
    <s v="pünktlich"/>
    <s v="nein"/>
    <x v="1"/>
    <x v="0"/>
    <x v="0"/>
    <x v="0"/>
    <m/>
  </r>
  <r>
    <s v="F/P/K"/>
    <x v="154"/>
    <x v="4"/>
    <s v="Österreich"/>
    <x v="153"/>
    <x v="151"/>
    <x v="4"/>
    <s v="pünktlich"/>
    <s v="nein"/>
    <x v="1"/>
    <x v="0"/>
    <x v="0"/>
    <x v="0"/>
    <m/>
  </r>
  <r>
    <s v="F/P/K"/>
    <x v="155"/>
    <x v="5"/>
    <s v="Schweiz"/>
    <x v="154"/>
    <x v="152"/>
    <x v="5"/>
    <s v="pünktlich"/>
    <s v="nein"/>
    <x v="1"/>
    <x v="0"/>
    <x v="0"/>
    <x v="0"/>
    <m/>
  </r>
  <r>
    <s v="F/P/K"/>
    <x v="156"/>
    <x v="0"/>
    <s v="Kroatien"/>
    <x v="155"/>
    <x v="153"/>
    <x v="0"/>
    <s v="pünktlich"/>
    <s v="nein"/>
    <x v="1"/>
    <x v="0"/>
    <x v="0"/>
    <x v="0"/>
    <m/>
  </r>
  <r>
    <s v="F/P/K"/>
    <x v="157"/>
    <x v="1"/>
    <s v="Polen"/>
    <x v="156"/>
    <x v="154"/>
    <x v="1"/>
    <s v="pünktlich"/>
    <s v="nein"/>
    <x v="1"/>
    <x v="0"/>
    <x v="0"/>
    <x v="0"/>
    <m/>
  </r>
  <r>
    <s v="F/P/K"/>
    <x v="158"/>
    <x v="2"/>
    <s v="Belgien"/>
    <x v="157"/>
    <x v="155"/>
    <x v="2"/>
    <s v="pünktlich"/>
    <s v="nein"/>
    <x v="4"/>
    <x v="0"/>
    <x v="0"/>
    <x v="0"/>
    <m/>
  </r>
  <r>
    <s v="F/P/K"/>
    <x v="159"/>
    <x v="3"/>
    <s v="Niederlande"/>
    <x v="158"/>
    <x v="156"/>
    <x v="3"/>
    <s v="pünktlich"/>
    <s v="nein"/>
    <x v="4"/>
    <x v="0"/>
    <x v="0"/>
    <x v="0"/>
    <m/>
  </r>
  <r>
    <s v="F/P/K"/>
    <x v="160"/>
    <x v="4"/>
    <s v="Deutschland"/>
    <x v="159"/>
    <x v="157"/>
    <x v="4"/>
    <s v="pünktlich"/>
    <s v="nein"/>
    <x v="4"/>
    <x v="0"/>
    <x v="0"/>
    <x v="0"/>
    <m/>
  </r>
  <r>
    <s v="F/P/K"/>
    <x v="161"/>
    <x v="5"/>
    <s v="Luxemburg"/>
    <x v="160"/>
    <x v="158"/>
    <x v="5"/>
    <s v="pünktlich"/>
    <s v="nein"/>
    <x v="4"/>
    <x v="0"/>
    <x v="0"/>
    <x v="0"/>
    <m/>
  </r>
  <r>
    <s v="F/P/K"/>
    <x v="162"/>
    <x v="0"/>
    <s v="Italia"/>
    <x v="161"/>
    <x v="159"/>
    <x v="0"/>
    <s v="pünktlich"/>
    <s v="nein"/>
    <x v="4"/>
    <x v="0"/>
    <x v="0"/>
    <x v="0"/>
    <m/>
  </r>
  <r>
    <s v="F/P/K"/>
    <x v="163"/>
    <x v="1"/>
    <s v="Frankreich"/>
    <x v="162"/>
    <x v="160"/>
    <x v="1"/>
    <s v="pünktlich"/>
    <s v="nein"/>
    <x v="4"/>
    <x v="0"/>
    <x v="0"/>
    <x v="0"/>
    <m/>
  </r>
  <r>
    <s v="F/P/K"/>
    <x v="164"/>
    <x v="2"/>
    <s v="Österreich"/>
    <x v="163"/>
    <x v="161"/>
    <x v="2"/>
    <s v="pünktlich"/>
    <s v="nein"/>
    <x v="4"/>
    <x v="0"/>
    <x v="0"/>
    <x v="0"/>
    <m/>
  </r>
  <r>
    <s v="F/P/K"/>
    <x v="165"/>
    <x v="3"/>
    <s v="Schweiz"/>
    <x v="164"/>
    <x v="162"/>
    <x v="3"/>
    <s v="in verzug"/>
    <s v="nein"/>
    <x v="4"/>
    <x v="0"/>
    <x v="0"/>
    <x v="0"/>
    <m/>
  </r>
  <r>
    <s v="F/P/K"/>
    <x v="166"/>
    <x v="4"/>
    <s v="Kroatien"/>
    <x v="165"/>
    <x v="163"/>
    <x v="4"/>
    <s v="in verzug"/>
    <s v="nein"/>
    <x v="4"/>
    <x v="0"/>
    <x v="0"/>
    <x v="0"/>
    <m/>
  </r>
  <r>
    <s v="F/P/K"/>
    <x v="167"/>
    <x v="5"/>
    <s v="Polen"/>
    <x v="166"/>
    <x v="164"/>
    <x v="5"/>
    <s v="in verzug"/>
    <s v="nein"/>
    <x v="4"/>
    <x v="0"/>
    <x v="0"/>
    <x v="0"/>
    <m/>
  </r>
  <r>
    <s v="F/P/K"/>
    <x v="168"/>
    <x v="0"/>
    <s v="Belgien"/>
    <x v="167"/>
    <x v="165"/>
    <x v="0"/>
    <s v="in verzug"/>
    <s v="nein"/>
    <x v="1"/>
    <x v="0"/>
    <x v="0"/>
    <x v="0"/>
    <m/>
  </r>
  <r>
    <s v="F/P/K"/>
    <x v="169"/>
    <x v="1"/>
    <s v="Niederlande"/>
    <x v="168"/>
    <x v="166"/>
    <x v="1"/>
    <s v="in verzug"/>
    <s v="nein"/>
    <x v="1"/>
    <x v="0"/>
    <x v="0"/>
    <x v="0"/>
    <m/>
  </r>
  <r>
    <s v="F/P/K"/>
    <x v="170"/>
    <x v="2"/>
    <s v="Deutschland"/>
    <x v="169"/>
    <x v="167"/>
    <x v="2"/>
    <s v="in verzug"/>
    <s v="nein"/>
    <x v="1"/>
    <x v="0"/>
    <x v="0"/>
    <x v="0"/>
    <m/>
  </r>
  <r>
    <s v="F/P/K"/>
    <x v="171"/>
    <x v="3"/>
    <s v="Luxemburg"/>
    <x v="170"/>
    <x v="168"/>
    <x v="3"/>
    <s v="in verzug"/>
    <s v="nein"/>
    <x v="1"/>
    <x v="0"/>
    <x v="0"/>
    <x v="0"/>
    <m/>
  </r>
  <r>
    <s v="F/P/K"/>
    <x v="172"/>
    <x v="4"/>
    <s v="Italia"/>
    <x v="171"/>
    <x v="169"/>
    <x v="4"/>
    <s v="in verzug"/>
    <s v="nein"/>
    <x v="1"/>
    <x v="0"/>
    <x v="0"/>
    <x v="0"/>
    <m/>
  </r>
  <r>
    <s v="F/P/K"/>
    <x v="173"/>
    <x v="5"/>
    <s v="Frankreich"/>
    <x v="172"/>
    <x v="170"/>
    <x v="5"/>
    <s v="pünktlich"/>
    <s v="nein"/>
    <x v="1"/>
    <x v="0"/>
    <x v="0"/>
    <x v="0"/>
    <m/>
  </r>
  <r>
    <s v="F/P/K"/>
    <x v="174"/>
    <x v="0"/>
    <s v="Österreich"/>
    <x v="173"/>
    <x v="171"/>
    <x v="0"/>
    <s v="pünktlich"/>
    <s v="nein"/>
    <x v="4"/>
    <x v="0"/>
    <x v="0"/>
    <x v="0"/>
    <m/>
  </r>
  <r>
    <s v="F/P/K"/>
    <x v="175"/>
    <x v="1"/>
    <s v="Schweiz"/>
    <x v="174"/>
    <x v="172"/>
    <x v="1"/>
    <s v="pünktlich"/>
    <s v="nein"/>
    <x v="4"/>
    <x v="0"/>
    <x v="0"/>
    <x v="0"/>
    <m/>
  </r>
  <r>
    <s v="F/P/K"/>
    <x v="176"/>
    <x v="2"/>
    <s v="Kroatien"/>
    <x v="175"/>
    <x v="173"/>
    <x v="2"/>
    <s v="pünktlich"/>
    <s v="nein"/>
    <x v="4"/>
    <x v="0"/>
    <x v="0"/>
    <x v="0"/>
    <m/>
  </r>
  <r>
    <s v="F/P/K"/>
    <x v="177"/>
    <x v="3"/>
    <s v="Polen"/>
    <x v="176"/>
    <x v="174"/>
    <x v="3"/>
    <s v="pünktlich"/>
    <s v="ja"/>
    <x v="4"/>
    <x v="0"/>
    <x v="0"/>
    <x v="0"/>
    <m/>
  </r>
  <r>
    <s v="F/P/K"/>
    <x v="178"/>
    <x v="4"/>
    <s v="Belgien"/>
    <x v="177"/>
    <x v="175"/>
    <x v="4"/>
    <s v="pünktlich"/>
    <s v="nein"/>
    <x v="1"/>
    <x v="0"/>
    <x v="0"/>
    <x v="0"/>
    <m/>
  </r>
  <r>
    <s v="F/P/K"/>
    <x v="179"/>
    <x v="5"/>
    <s v="Niederlande"/>
    <x v="178"/>
    <x v="176"/>
    <x v="5"/>
    <s v="pünktlich"/>
    <s v="nein"/>
    <x v="4"/>
    <x v="0"/>
    <x v="0"/>
    <x v="0"/>
    <m/>
  </r>
  <r>
    <s v="F/P/K"/>
    <x v="180"/>
    <x v="0"/>
    <s v="Deutschland"/>
    <x v="179"/>
    <x v="177"/>
    <x v="0"/>
    <s v="pünktlich"/>
    <s v="nein"/>
    <x v="4"/>
    <x v="0"/>
    <x v="0"/>
    <x v="0"/>
    <m/>
  </r>
  <r>
    <s v="F/P/K"/>
    <x v="181"/>
    <x v="1"/>
    <s v="Luxemburg"/>
    <x v="180"/>
    <x v="178"/>
    <x v="1"/>
    <s v="pünktlich"/>
    <s v="nein"/>
    <x v="4"/>
    <x v="0"/>
    <x v="0"/>
    <x v="0"/>
    <m/>
  </r>
  <r>
    <s v="F/P/K"/>
    <x v="182"/>
    <x v="2"/>
    <s v="Italia"/>
    <x v="181"/>
    <x v="179"/>
    <x v="2"/>
    <s v="pünktlich"/>
    <s v="ja"/>
    <x v="1"/>
    <x v="0"/>
    <x v="0"/>
    <x v="0"/>
    <m/>
  </r>
  <r>
    <s v="F/P/K"/>
    <x v="183"/>
    <x v="3"/>
    <s v="Frankreich"/>
    <x v="182"/>
    <x v="180"/>
    <x v="3"/>
    <s v="pünktlich"/>
    <s v="nein"/>
    <x v="4"/>
    <x v="0"/>
    <x v="0"/>
    <x v="0"/>
    <m/>
  </r>
  <r>
    <s v="F/P/K"/>
    <x v="184"/>
    <x v="4"/>
    <s v="Österreich"/>
    <x v="183"/>
    <x v="181"/>
    <x v="4"/>
    <s v="pünktlich"/>
    <s v="nein"/>
    <x v="4"/>
    <x v="0"/>
    <x v="0"/>
    <x v="0"/>
    <m/>
  </r>
  <r>
    <s v="F/P/K"/>
    <x v="185"/>
    <x v="5"/>
    <s v="Schweiz"/>
    <x v="184"/>
    <x v="182"/>
    <x v="5"/>
    <s v="pünktlich"/>
    <s v="nein"/>
    <x v="4"/>
    <x v="0"/>
    <x v="0"/>
    <x v="0"/>
    <m/>
  </r>
  <r>
    <s v="F/P/K"/>
    <x v="186"/>
    <x v="0"/>
    <s v="Kroatien"/>
    <x v="185"/>
    <x v="183"/>
    <x v="0"/>
    <s v="pünktlich"/>
    <s v="nein"/>
    <x v="4"/>
    <x v="0"/>
    <x v="0"/>
    <x v="0"/>
    <m/>
  </r>
  <r>
    <s v="F/P/K"/>
    <x v="187"/>
    <x v="1"/>
    <s v="Polen"/>
    <x v="186"/>
    <x v="184"/>
    <x v="1"/>
    <s v="pünktlich"/>
    <s v="ja"/>
    <x v="4"/>
    <x v="0"/>
    <x v="0"/>
    <x v="0"/>
    <m/>
  </r>
  <r>
    <s v="F/P/K"/>
    <x v="188"/>
    <x v="2"/>
    <s v="Belgien"/>
    <x v="187"/>
    <x v="185"/>
    <x v="2"/>
    <s v="pünktlich"/>
    <s v="nein"/>
    <x v="4"/>
    <x v="0"/>
    <x v="0"/>
    <x v="0"/>
    <m/>
  </r>
  <r>
    <s v="F/P/K"/>
    <x v="189"/>
    <x v="3"/>
    <s v="Niederlande"/>
    <x v="188"/>
    <x v="186"/>
    <x v="3"/>
    <s v="pünktlich"/>
    <s v="nein"/>
    <x v="1"/>
    <x v="0"/>
    <x v="0"/>
    <x v="0"/>
    <m/>
  </r>
  <r>
    <s v="F/P/K"/>
    <x v="190"/>
    <x v="4"/>
    <s v="Deutschland"/>
    <x v="189"/>
    <x v="187"/>
    <x v="4"/>
    <s v="pünktlich"/>
    <s v="nein"/>
    <x v="1"/>
    <x v="0"/>
    <x v="0"/>
    <x v="0"/>
    <m/>
  </r>
  <r>
    <s v="F/P/K"/>
    <x v="191"/>
    <x v="5"/>
    <s v="Luxemburg"/>
    <x v="190"/>
    <x v="188"/>
    <x v="5"/>
    <s v="pünktlich"/>
    <s v="nein"/>
    <x v="1"/>
    <x v="0"/>
    <x v="0"/>
    <x v="0"/>
    <m/>
  </r>
  <r>
    <s v="F/P/K"/>
    <x v="192"/>
    <x v="0"/>
    <s v="Italia"/>
    <x v="191"/>
    <x v="189"/>
    <x v="0"/>
    <s v="pünktlich"/>
    <s v="nein"/>
    <x v="1"/>
    <x v="0"/>
    <x v="0"/>
    <x v="0"/>
    <m/>
  </r>
  <r>
    <s v="F/P/K"/>
    <x v="193"/>
    <x v="1"/>
    <s v="Frankreich"/>
    <x v="192"/>
    <x v="190"/>
    <x v="1"/>
    <s v="pünktlich"/>
    <s v="nein"/>
    <x v="1"/>
    <x v="0"/>
    <x v="0"/>
    <x v="0"/>
    <m/>
  </r>
  <r>
    <s v="F/P/K"/>
    <x v="194"/>
    <x v="2"/>
    <s v="Österreich"/>
    <x v="193"/>
    <x v="191"/>
    <x v="2"/>
    <s v="pünktlich"/>
    <s v="nein"/>
    <x v="1"/>
    <x v="0"/>
    <x v="0"/>
    <x v="0"/>
    <m/>
  </r>
  <r>
    <s v="F/P/K"/>
    <x v="195"/>
    <x v="3"/>
    <s v="Schweiz"/>
    <x v="194"/>
    <x v="192"/>
    <x v="3"/>
    <s v="pünktlich"/>
    <s v="nein"/>
    <x v="1"/>
    <x v="0"/>
    <x v="0"/>
    <x v="0"/>
    <m/>
  </r>
  <r>
    <s v="F/P/K"/>
    <x v="196"/>
    <x v="4"/>
    <s v="Kroatien"/>
    <x v="195"/>
    <x v="193"/>
    <x v="4"/>
    <s v="pünktlich"/>
    <s v="nein"/>
    <x v="1"/>
    <x v="0"/>
    <x v="0"/>
    <x v="0"/>
    <m/>
  </r>
  <r>
    <s v="F/P/K"/>
    <x v="197"/>
    <x v="5"/>
    <s v="Polen"/>
    <x v="134"/>
    <x v="194"/>
    <x v="5"/>
    <s v="pünktlich"/>
    <s v="nein"/>
    <x v="1"/>
    <x v="0"/>
    <x v="0"/>
    <x v="0"/>
    <m/>
  </r>
  <r>
    <s v="F/P/K"/>
    <x v="198"/>
    <x v="0"/>
    <s v="Belgien"/>
    <x v="196"/>
    <x v="195"/>
    <x v="0"/>
    <s v="pünktlich"/>
    <s v="nein"/>
    <x v="1"/>
    <x v="0"/>
    <x v="0"/>
    <x v="0"/>
    <m/>
  </r>
  <r>
    <s v="F/P/K"/>
    <x v="199"/>
    <x v="1"/>
    <s v="Niederlande"/>
    <x v="197"/>
    <x v="196"/>
    <x v="1"/>
    <s v="pünktlich"/>
    <s v="nein"/>
    <x v="1"/>
    <x v="0"/>
    <x v="0"/>
    <x v="0"/>
    <m/>
  </r>
  <r>
    <s v="F/P/K"/>
    <x v="200"/>
    <x v="2"/>
    <s v="Deutschland"/>
    <x v="198"/>
    <x v="197"/>
    <x v="2"/>
    <s v="pünktlich"/>
    <s v="nein"/>
    <x v="1"/>
    <x v="0"/>
    <x v="0"/>
    <x v="0"/>
    <m/>
  </r>
  <r>
    <s v="F/P/K"/>
    <x v="201"/>
    <x v="3"/>
    <s v="Luxemburg"/>
    <x v="199"/>
    <x v="198"/>
    <x v="3"/>
    <s v="pünktlich"/>
    <s v="nein"/>
    <x v="1"/>
    <x v="0"/>
    <x v="0"/>
    <x v="0"/>
    <m/>
  </r>
  <r>
    <s v="F/P/K"/>
    <x v="202"/>
    <x v="4"/>
    <s v="Italia"/>
    <x v="200"/>
    <x v="199"/>
    <x v="4"/>
    <s v="pünktlich"/>
    <s v="nein"/>
    <x v="1"/>
    <x v="0"/>
    <x v="0"/>
    <x v="0"/>
    <m/>
  </r>
  <r>
    <s v="F/P/K"/>
    <x v="203"/>
    <x v="5"/>
    <s v="Frankreich"/>
    <x v="201"/>
    <x v="200"/>
    <x v="5"/>
    <s v="pünktlich"/>
    <s v="nein"/>
    <x v="1"/>
    <x v="0"/>
    <x v="0"/>
    <x v="0"/>
    <m/>
  </r>
  <r>
    <s v="F/P/K"/>
    <x v="204"/>
    <x v="0"/>
    <s v="Österreich"/>
    <x v="202"/>
    <x v="33"/>
    <x v="0"/>
    <s v="pünktlich"/>
    <s v="nein"/>
    <x v="1"/>
    <x v="0"/>
    <x v="0"/>
    <x v="0"/>
    <m/>
  </r>
  <r>
    <s v="F/P/K"/>
    <x v="205"/>
    <x v="1"/>
    <s v="Schweiz"/>
    <x v="203"/>
    <x v="201"/>
    <x v="1"/>
    <s v="pünktlich"/>
    <s v="nein"/>
    <x v="1"/>
    <x v="0"/>
    <x v="0"/>
    <x v="0"/>
    <m/>
  </r>
  <r>
    <s v="F/P/K"/>
    <x v="206"/>
    <x v="2"/>
    <s v="Kroatien"/>
    <x v="204"/>
    <x v="59"/>
    <x v="2"/>
    <s v="pünktlich"/>
    <s v="nein"/>
    <x v="1"/>
    <x v="0"/>
    <x v="0"/>
    <x v="0"/>
    <m/>
  </r>
  <r>
    <s v="F/P/K"/>
    <x v="207"/>
    <x v="3"/>
    <s v="Polen"/>
    <x v="205"/>
    <x v="202"/>
    <x v="3"/>
    <s v="pünktlich"/>
    <s v="nein"/>
    <x v="1"/>
    <x v="0"/>
    <x v="0"/>
    <x v="0"/>
    <m/>
  </r>
  <r>
    <s v="F/P/K"/>
    <x v="208"/>
    <x v="4"/>
    <s v="Belgien"/>
    <x v="206"/>
    <x v="203"/>
    <x v="4"/>
    <s v="pünktlich"/>
    <s v="nein"/>
    <x v="1"/>
    <x v="0"/>
    <x v="0"/>
    <x v="0"/>
    <m/>
  </r>
  <r>
    <s v="F/P/K"/>
    <x v="209"/>
    <x v="5"/>
    <s v="Niederlande"/>
    <x v="207"/>
    <x v="204"/>
    <x v="5"/>
    <s v="pünktlich"/>
    <s v="nein"/>
    <x v="1"/>
    <x v="0"/>
    <x v="0"/>
    <x v="0"/>
    <m/>
  </r>
  <r>
    <s v="F/P/K"/>
    <x v="210"/>
    <x v="0"/>
    <s v="Deutschland"/>
    <x v="20"/>
    <x v="205"/>
    <x v="0"/>
    <s v="pünktlich"/>
    <s v="nein"/>
    <x v="1"/>
    <x v="0"/>
    <x v="0"/>
    <x v="0"/>
    <m/>
  </r>
  <r>
    <s v="F/P/K"/>
    <x v="211"/>
    <x v="1"/>
    <s v="Luxemburg"/>
    <x v="208"/>
    <x v="206"/>
    <x v="1"/>
    <s v="pünktlich"/>
    <s v="nein"/>
    <x v="1"/>
    <x v="0"/>
    <x v="0"/>
    <x v="0"/>
    <m/>
  </r>
  <r>
    <s v="F/P/K"/>
    <x v="212"/>
    <x v="2"/>
    <s v="Italia"/>
    <x v="209"/>
    <x v="207"/>
    <x v="2"/>
    <m/>
    <m/>
    <x v="5"/>
    <x v="0"/>
    <x v="0"/>
    <x v="0"/>
    <m/>
  </r>
  <r>
    <s v="F/P/K"/>
    <x v="213"/>
    <x v="3"/>
    <s v="Frankreich"/>
    <x v="209"/>
    <x v="208"/>
    <x v="3"/>
    <m/>
    <m/>
    <x v="5"/>
    <x v="0"/>
    <x v="0"/>
    <x v="0"/>
    <m/>
  </r>
  <r>
    <s v="F/P/K"/>
    <x v="214"/>
    <x v="4"/>
    <s v="Österreich"/>
    <x v="209"/>
    <x v="209"/>
    <x v="4"/>
    <m/>
    <m/>
    <x v="5"/>
    <x v="0"/>
    <x v="0"/>
    <x v="0"/>
    <m/>
  </r>
  <r>
    <s v="F/P/K"/>
    <x v="215"/>
    <x v="5"/>
    <s v="Schweiz"/>
    <x v="209"/>
    <x v="210"/>
    <x v="5"/>
    <m/>
    <m/>
    <x v="5"/>
    <x v="0"/>
    <x v="0"/>
    <x v="0"/>
    <m/>
  </r>
  <r>
    <s v="F/P/K"/>
    <x v="216"/>
    <x v="0"/>
    <s v="Kroatien"/>
    <x v="209"/>
    <x v="211"/>
    <x v="0"/>
    <m/>
    <m/>
    <x v="5"/>
    <x v="0"/>
    <x v="0"/>
    <x v="0"/>
    <m/>
  </r>
  <r>
    <s v="F/P/K"/>
    <x v="217"/>
    <x v="1"/>
    <s v="Polen"/>
    <x v="209"/>
    <x v="212"/>
    <x v="1"/>
    <m/>
    <m/>
    <x v="5"/>
    <x v="0"/>
    <x v="0"/>
    <x v="0"/>
    <m/>
  </r>
  <r>
    <s v="F/P/K"/>
    <x v="218"/>
    <x v="2"/>
    <s v="Belgien"/>
    <x v="209"/>
    <x v="213"/>
    <x v="2"/>
    <m/>
    <m/>
    <x v="5"/>
    <x v="0"/>
    <x v="0"/>
    <x v="0"/>
    <m/>
  </r>
  <r>
    <s v="F/P/K"/>
    <x v="219"/>
    <x v="3"/>
    <s v="Niederlande"/>
    <x v="209"/>
    <x v="214"/>
    <x v="3"/>
    <m/>
    <m/>
    <x v="5"/>
    <x v="0"/>
    <x v="0"/>
    <x v="0"/>
    <m/>
  </r>
  <r>
    <s v="F/P/K"/>
    <x v="220"/>
    <x v="4"/>
    <s v="Deutschland"/>
    <x v="209"/>
    <x v="215"/>
    <x v="4"/>
    <m/>
    <m/>
    <x v="5"/>
    <x v="0"/>
    <x v="0"/>
    <x v="0"/>
    <m/>
  </r>
  <r>
    <s v="F/P/K"/>
    <x v="221"/>
    <x v="5"/>
    <s v="Luxemburg"/>
    <x v="209"/>
    <x v="216"/>
    <x v="5"/>
    <m/>
    <m/>
    <x v="5"/>
    <x v="0"/>
    <x v="0"/>
    <x v="0"/>
    <m/>
  </r>
  <r>
    <s v="F/P/K"/>
    <x v="222"/>
    <x v="0"/>
    <s v="Italia"/>
    <x v="209"/>
    <x v="217"/>
    <x v="0"/>
    <m/>
    <m/>
    <x v="5"/>
    <x v="0"/>
    <x v="0"/>
    <x v="0"/>
    <m/>
  </r>
  <r>
    <s v="F/P/K"/>
    <x v="223"/>
    <x v="1"/>
    <s v="Frankreich"/>
    <x v="209"/>
    <x v="218"/>
    <x v="1"/>
    <m/>
    <m/>
    <x v="5"/>
    <x v="0"/>
    <x v="0"/>
    <x v="0"/>
    <m/>
  </r>
  <r>
    <s v="F/P/K"/>
    <x v="224"/>
    <x v="2"/>
    <s v="Österreich"/>
    <x v="209"/>
    <x v="219"/>
    <x v="2"/>
    <m/>
    <m/>
    <x v="5"/>
    <x v="0"/>
    <x v="0"/>
    <x v="0"/>
    <m/>
  </r>
  <r>
    <s v="F/P/K"/>
    <x v="225"/>
    <x v="3"/>
    <s v="Schweiz"/>
    <x v="209"/>
    <x v="220"/>
    <x v="3"/>
    <m/>
    <m/>
    <x v="5"/>
    <x v="0"/>
    <x v="0"/>
    <x v="0"/>
    <m/>
  </r>
  <r>
    <s v="F/P/K"/>
    <x v="226"/>
    <x v="4"/>
    <s v="Kroatien"/>
    <x v="209"/>
    <x v="221"/>
    <x v="4"/>
    <m/>
    <m/>
    <x v="5"/>
    <x v="0"/>
    <x v="0"/>
    <x v="0"/>
    <m/>
  </r>
  <r>
    <s v="F/P/K"/>
    <x v="227"/>
    <x v="5"/>
    <s v="Polen"/>
    <x v="209"/>
    <x v="222"/>
    <x v="5"/>
    <m/>
    <m/>
    <x v="5"/>
    <x v="0"/>
    <x v="0"/>
    <x v="0"/>
    <m/>
  </r>
  <r>
    <s v="F/P/K"/>
    <x v="228"/>
    <x v="0"/>
    <s v="Belgien"/>
    <x v="209"/>
    <x v="223"/>
    <x v="0"/>
    <m/>
    <m/>
    <x v="5"/>
    <x v="0"/>
    <x v="0"/>
    <x v="0"/>
    <m/>
  </r>
  <r>
    <s v="F/P/K"/>
    <x v="229"/>
    <x v="1"/>
    <s v="Niederlande"/>
    <x v="209"/>
    <x v="224"/>
    <x v="1"/>
    <m/>
    <m/>
    <x v="5"/>
    <x v="0"/>
    <x v="0"/>
    <x v="0"/>
    <m/>
  </r>
  <r>
    <s v="F/P/K"/>
    <x v="230"/>
    <x v="2"/>
    <s v="Deutschland"/>
    <x v="209"/>
    <x v="225"/>
    <x v="2"/>
    <m/>
    <m/>
    <x v="5"/>
    <x v="0"/>
    <x v="0"/>
    <x v="0"/>
    <m/>
  </r>
  <r>
    <s v="F/P/K"/>
    <x v="231"/>
    <x v="3"/>
    <s v="Luxemburg"/>
    <x v="209"/>
    <x v="226"/>
    <x v="3"/>
    <m/>
    <m/>
    <x v="5"/>
    <x v="0"/>
    <x v="0"/>
    <x v="0"/>
    <m/>
  </r>
  <r>
    <s v="F/P/K"/>
    <x v="232"/>
    <x v="4"/>
    <s v="Italia"/>
    <x v="209"/>
    <x v="227"/>
    <x v="4"/>
    <m/>
    <m/>
    <x v="5"/>
    <x v="0"/>
    <x v="0"/>
    <x v="0"/>
    <m/>
  </r>
  <r>
    <s v="F/P/K"/>
    <x v="233"/>
    <x v="5"/>
    <s v="Frankreich"/>
    <x v="209"/>
    <x v="228"/>
    <x v="5"/>
    <m/>
    <m/>
    <x v="5"/>
    <x v="0"/>
    <x v="0"/>
    <x v="0"/>
    <m/>
  </r>
  <r>
    <s v="F/P/K"/>
    <x v="234"/>
    <x v="0"/>
    <s v="Österreich"/>
    <x v="209"/>
    <x v="229"/>
    <x v="0"/>
    <m/>
    <m/>
    <x v="5"/>
    <x v="0"/>
    <x v="0"/>
    <x v="0"/>
    <m/>
  </r>
  <r>
    <s v="F/P/K"/>
    <x v="235"/>
    <x v="1"/>
    <s v="Schweiz"/>
    <x v="209"/>
    <x v="230"/>
    <x v="1"/>
    <m/>
    <m/>
    <x v="5"/>
    <x v="0"/>
    <x v="0"/>
    <x v="0"/>
    <m/>
  </r>
  <r>
    <s v="F/P/K"/>
    <x v="236"/>
    <x v="2"/>
    <s v="Kroatien"/>
    <x v="209"/>
    <x v="231"/>
    <x v="2"/>
    <m/>
    <m/>
    <x v="5"/>
    <x v="0"/>
    <x v="0"/>
    <x v="0"/>
    <m/>
  </r>
  <r>
    <s v="F/P/K"/>
    <x v="237"/>
    <x v="3"/>
    <s v="Polen"/>
    <x v="209"/>
    <x v="232"/>
    <x v="3"/>
    <m/>
    <m/>
    <x v="5"/>
    <x v="0"/>
    <x v="0"/>
    <x v="0"/>
    <m/>
  </r>
  <r>
    <s v="F/P/K"/>
    <x v="238"/>
    <x v="4"/>
    <s v="Belgien"/>
    <x v="209"/>
    <x v="233"/>
    <x v="4"/>
    <m/>
    <m/>
    <x v="5"/>
    <x v="0"/>
    <x v="0"/>
    <x v="0"/>
    <m/>
  </r>
  <r>
    <s v="F/P/K"/>
    <x v="239"/>
    <x v="5"/>
    <s v="Niederlande"/>
    <x v="209"/>
    <x v="234"/>
    <x v="5"/>
    <m/>
    <m/>
    <x v="5"/>
    <x v="0"/>
    <x v="0"/>
    <x v="0"/>
    <m/>
  </r>
  <r>
    <s v="F/P/K"/>
    <x v="240"/>
    <x v="0"/>
    <s v="Deutschland"/>
    <x v="209"/>
    <x v="235"/>
    <x v="0"/>
    <m/>
    <m/>
    <x v="5"/>
    <x v="0"/>
    <x v="0"/>
    <x v="0"/>
    <m/>
  </r>
  <r>
    <s v="F/P/K"/>
    <x v="241"/>
    <x v="1"/>
    <s v="Luxemburg"/>
    <x v="209"/>
    <x v="236"/>
    <x v="1"/>
    <m/>
    <m/>
    <x v="5"/>
    <x v="0"/>
    <x v="0"/>
    <x v="0"/>
    <m/>
  </r>
  <r>
    <s v="F/P/K"/>
    <x v="242"/>
    <x v="2"/>
    <s v="Italia"/>
    <x v="209"/>
    <x v="237"/>
    <x v="2"/>
    <m/>
    <m/>
    <x v="5"/>
    <x v="0"/>
    <x v="0"/>
    <x v="0"/>
    <m/>
  </r>
  <r>
    <s v="F/P/K"/>
    <x v="243"/>
    <x v="3"/>
    <s v="Frankreich"/>
    <x v="209"/>
    <x v="238"/>
    <x v="3"/>
    <m/>
    <m/>
    <x v="5"/>
    <x v="0"/>
    <x v="0"/>
    <x v="0"/>
    <m/>
  </r>
  <r>
    <s v="F/P/K"/>
    <x v="244"/>
    <x v="4"/>
    <s v="Österreich"/>
    <x v="209"/>
    <x v="239"/>
    <x v="4"/>
    <m/>
    <m/>
    <x v="5"/>
    <x v="0"/>
    <x v="0"/>
    <x v="0"/>
    <m/>
  </r>
  <r>
    <s v="F/P/K"/>
    <x v="245"/>
    <x v="5"/>
    <s v="Schweiz"/>
    <x v="209"/>
    <x v="240"/>
    <x v="5"/>
    <m/>
    <m/>
    <x v="5"/>
    <x v="0"/>
    <x v="0"/>
    <x v="0"/>
    <m/>
  </r>
  <r>
    <s v="F/P/K"/>
    <x v="246"/>
    <x v="0"/>
    <s v="Kroatien"/>
    <x v="209"/>
    <x v="241"/>
    <x v="0"/>
    <m/>
    <m/>
    <x v="5"/>
    <x v="0"/>
    <x v="0"/>
    <x v="0"/>
    <m/>
  </r>
  <r>
    <s v="F/P/K"/>
    <x v="247"/>
    <x v="1"/>
    <s v="Polen"/>
    <x v="209"/>
    <x v="242"/>
    <x v="1"/>
    <m/>
    <m/>
    <x v="5"/>
    <x v="0"/>
    <x v="0"/>
    <x v="0"/>
    <m/>
  </r>
  <r>
    <s v="F/P/K"/>
    <x v="248"/>
    <x v="2"/>
    <s v="Belgien"/>
    <x v="209"/>
    <x v="243"/>
    <x v="2"/>
    <m/>
    <m/>
    <x v="5"/>
    <x v="0"/>
    <x v="0"/>
    <x v="0"/>
    <m/>
  </r>
  <r>
    <s v="F/P/K"/>
    <x v="249"/>
    <x v="3"/>
    <s v="Niederlande"/>
    <x v="209"/>
    <x v="244"/>
    <x v="3"/>
    <m/>
    <m/>
    <x v="5"/>
    <x v="0"/>
    <x v="0"/>
    <x v="0"/>
    <m/>
  </r>
  <r>
    <s v="F/P/K"/>
    <x v="250"/>
    <x v="4"/>
    <s v="Deutschland"/>
    <x v="209"/>
    <x v="245"/>
    <x v="4"/>
    <m/>
    <m/>
    <x v="5"/>
    <x v="0"/>
    <x v="0"/>
    <x v="0"/>
    <m/>
  </r>
  <r>
    <s v="F/P/K"/>
    <x v="251"/>
    <x v="5"/>
    <s v="Luxemburg"/>
    <x v="209"/>
    <x v="246"/>
    <x v="5"/>
    <m/>
    <m/>
    <x v="5"/>
    <x v="0"/>
    <x v="0"/>
    <x v="0"/>
    <m/>
  </r>
  <r>
    <s v="F/P/K"/>
    <x v="252"/>
    <x v="0"/>
    <s v="Italia"/>
    <x v="209"/>
    <x v="247"/>
    <x v="0"/>
    <m/>
    <m/>
    <x v="5"/>
    <x v="0"/>
    <x v="0"/>
    <x v="0"/>
    <m/>
  </r>
  <r>
    <s v="F/P/K"/>
    <x v="253"/>
    <x v="1"/>
    <s v="Frankreich"/>
    <x v="209"/>
    <x v="248"/>
    <x v="1"/>
    <m/>
    <m/>
    <x v="5"/>
    <x v="0"/>
    <x v="0"/>
    <x v="0"/>
    <m/>
  </r>
  <r>
    <s v="F/P/K"/>
    <x v="254"/>
    <x v="2"/>
    <s v="Österreich"/>
    <x v="209"/>
    <x v="249"/>
    <x v="2"/>
    <m/>
    <m/>
    <x v="5"/>
    <x v="0"/>
    <x v="0"/>
    <x v="0"/>
    <m/>
  </r>
  <r>
    <s v="F/P/K"/>
    <x v="255"/>
    <x v="3"/>
    <s v="Schweiz"/>
    <x v="209"/>
    <x v="250"/>
    <x v="3"/>
    <m/>
    <m/>
    <x v="5"/>
    <x v="0"/>
    <x v="0"/>
    <x v="0"/>
    <m/>
  </r>
  <r>
    <s v="F/P/K"/>
    <x v="256"/>
    <x v="4"/>
    <s v="Kroatien"/>
    <x v="209"/>
    <x v="251"/>
    <x v="4"/>
    <m/>
    <m/>
    <x v="5"/>
    <x v="0"/>
    <x v="0"/>
    <x v="0"/>
    <m/>
  </r>
  <r>
    <s v="F/P/K"/>
    <x v="257"/>
    <x v="5"/>
    <s v="Polen"/>
    <x v="209"/>
    <x v="252"/>
    <x v="5"/>
    <m/>
    <m/>
    <x v="5"/>
    <x v="0"/>
    <x v="0"/>
    <x v="0"/>
    <m/>
  </r>
  <r>
    <s v="F/P/K"/>
    <x v="258"/>
    <x v="0"/>
    <s v="Belgien"/>
    <x v="209"/>
    <x v="253"/>
    <x v="0"/>
    <m/>
    <m/>
    <x v="5"/>
    <x v="0"/>
    <x v="0"/>
    <x v="0"/>
    <m/>
  </r>
  <r>
    <s v="F/P/K"/>
    <x v="259"/>
    <x v="1"/>
    <s v="Niederlande"/>
    <x v="209"/>
    <x v="134"/>
    <x v="1"/>
    <m/>
    <m/>
    <x v="5"/>
    <x v="0"/>
    <x v="0"/>
    <x v="0"/>
    <m/>
  </r>
  <r>
    <s v="F/P/K"/>
    <x v="260"/>
    <x v="2"/>
    <s v="Deutschland"/>
    <x v="209"/>
    <x v="254"/>
    <x v="2"/>
    <m/>
    <m/>
    <x v="5"/>
    <x v="0"/>
    <x v="0"/>
    <x v="0"/>
    <m/>
  </r>
  <r>
    <s v="F/P/K"/>
    <x v="261"/>
    <x v="3"/>
    <s v="Luxemburg"/>
    <x v="209"/>
    <x v="255"/>
    <x v="3"/>
    <m/>
    <m/>
    <x v="5"/>
    <x v="0"/>
    <x v="0"/>
    <x v="0"/>
    <m/>
  </r>
  <r>
    <s v="F/P/K"/>
    <x v="262"/>
    <x v="4"/>
    <s v="Italia"/>
    <x v="209"/>
    <x v="256"/>
    <x v="4"/>
    <m/>
    <m/>
    <x v="5"/>
    <x v="0"/>
    <x v="0"/>
    <x v="0"/>
    <m/>
  </r>
  <r>
    <s v="F/P/K"/>
    <x v="263"/>
    <x v="5"/>
    <s v="Frankreich"/>
    <x v="209"/>
    <x v="257"/>
    <x v="5"/>
    <m/>
    <m/>
    <x v="5"/>
    <x v="0"/>
    <x v="0"/>
    <x v="0"/>
    <m/>
  </r>
  <r>
    <s v="F/P/K"/>
    <x v="264"/>
    <x v="0"/>
    <s v="Österreich"/>
    <x v="209"/>
    <x v="258"/>
    <x v="0"/>
    <m/>
    <m/>
    <x v="5"/>
    <x v="0"/>
    <x v="0"/>
    <x v="0"/>
    <m/>
  </r>
  <r>
    <s v="F/P/K"/>
    <x v="265"/>
    <x v="1"/>
    <s v="Schweiz"/>
    <x v="209"/>
    <x v="259"/>
    <x v="1"/>
    <m/>
    <m/>
    <x v="5"/>
    <x v="0"/>
    <x v="0"/>
    <x v="0"/>
    <m/>
  </r>
  <r>
    <s v="F/P/K"/>
    <x v="266"/>
    <x v="2"/>
    <s v="Kroatien"/>
    <x v="209"/>
    <x v="260"/>
    <x v="2"/>
    <m/>
    <m/>
    <x v="5"/>
    <x v="0"/>
    <x v="0"/>
    <x v="0"/>
    <m/>
  </r>
  <r>
    <s v="F/P/K"/>
    <x v="267"/>
    <x v="3"/>
    <s v="Polen"/>
    <x v="209"/>
    <x v="261"/>
    <x v="3"/>
    <m/>
    <m/>
    <x v="5"/>
    <x v="0"/>
    <x v="0"/>
    <x v="0"/>
    <m/>
  </r>
  <r>
    <s v="F/P/K"/>
    <x v="268"/>
    <x v="4"/>
    <s v="Belgien"/>
    <x v="209"/>
    <x v="262"/>
    <x v="4"/>
    <m/>
    <m/>
    <x v="5"/>
    <x v="0"/>
    <x v="0"/>
    <x v="0"/>
    <m/>
  </r>
  <r>
    <s v="F/P/K"/>
    <x v="269"/>
    <x v="5"/>
    <s v="Niederlande"/>
    <x v="209"/>
    <x v="263"/>
    <x v="5"/>
    <m/>
    <m/>
    <x v="5"/>
    <x v="0"/>
    <x v="0"/>
    <x v="0"/>
    <m/>
  </r>
  <r>
    <s v="F/P/K"/>
    <x v="270"/>
    <x v="0"/>
    <s v="Deutschland"/>
    <x v="209"/>
    <x v="264"/>
    <x v="0"/>
    <m/>
    <m/>
    <x v="5"/>
    <x v="0"/>
    <x v="0"/>
    <x v="0"/>
    <m/>
  </r>
  <r>
    <s v="F/P/K"/>
    <x v="271"/>
    <x v="1"/>
    <s v="Luxemburg"/>
    <x v="209"/>
    <x v="265"/>
    <x v="1"/>
    <m/>
    <m/>
    <x v="5"/>
    <x v="0"/>
    <x v="0"/>
    <x v="0"/>
    <m/>
  </r>
  <r>
    <s v="F/P/K"/>
    <x v="272"/>
    <x v="2"/>
    <s v="Italia"/>
    <x v="209"/>
    <x v="1"/>
    <x v="2"/>
    <m/>
    <m/>
    <x v="5"/>
    <x v="0"/>
    <x v="0"/>
    <x v="0"/>
    <m/>
  </r>
  <r>
    <s v="F/P/K"/>
    <x v="273"/>
    <x v="3"/>
    <s v="Frankreich"/>
    <x v="209"/>
    <x v="266"/>
    <x v="3"/>
    <m/>
    <m/>
    <x v="5"/>
    <x v="0"/>
    <x v="0"/>
    <x v="0"/>
    <m/>
  </r>
  <r>
    <s v="F/P/K"/>
    <x v="274"/>
    <x v="4"/>
    <s v="Österreich"/>
    <x v="209"/>
    <x v="267"/>
    <x v="4"/>
    <m/>
    <m/>
    <x v="5"/>
    <x v="0"/>
    <x v="0"/>
    <x v="0"/>
    <m/>
  </r>
  <r>
    <s v="F/P/K"/>
    <x v="275"/>
    <x v="5"/>
    <s v="Schweiz"/>
    <x v="209"/>
    <x v="268"/>
    <x v="5"/>
    <m/>
    <m/>
    <x v="5"/>
    <x v="0"/>
    <x v="0"/>
    <x v="0"/>
    <m/>
  </r>
  <r>
    <s v="F/P/K"/>
    <x v="276"/>
    <x v="0"/>
    <s v="Kroatien"/>
    <x v="209"/>
    <x v="34"/>
    <x v="0"/>
    <m/>
    <m/>
    <x v="5"/>
    <x v="0"/>
    <x v="0"/>
    <x v="0"/>
    <m/>
  </r>
  <r>
    <s v="F/P/K"/>
    <x v="277"/>
    <x v="1"/>
    <s v="Polen"/>
    <x v="209"/>
    <x v="269"/>
    <x v="1"/>
    <m/>
    <m/>
    <x v="5"/>
    <x v="0"/>
    <x v="0"/>
    <x v="0"/>
    <m/>
  </r>
  <r>
    <s v="F/P/K"/>
    <x v="278"/>
    <x v="2"/>
    <s v="Belgien"/>
    <x v="209"/>
    <x v="270"/>
    <x v="2"/>
    <m/>
    <m/>
    <x v="5"/>
    <x v="0"/>
    <x v="0"/>
    <x v="0"/>
    <m/>
  </r>
  <r>
    <s v="F/P/K"/>
    <x v="279"/>
    <x v="3"/>
    <s v="Niederlande"/>
    <x v="209"/>
    <x v="271"/>
    <x v="3"/>
    <m/>
    <m/>
    <x v="5"/>
    <x v="0"/>
    <x v="0"/>
    <x v="0"/>
    <m/>
  </r>
  <r>
    <s v="F/P/K"/>
    <x v="280"/>
    <x v="4"/>
    <s v="Deutschland"/>
    <x v="209"/>
    <x v="272"/>
    <x v="4"/>
    <m/>
    <m/>
    <x v="5"/>
    <x v="0"/>
    <x v="0"/>
    <x v="0"/>
    <m/>
  </r>
  <r>
    <s v="F/P/K"/>
    <x v="281"/>
    <x v="5"/>
    <s v="Luxemburg"/>
    <x v="209"/>
    <x v="273"/>
    <x v="5"/>
    <m/>
    <m/>
    <x v="5"/>
    <x v="0"/>
    <x v="0"/>
    <x v="0"/>
    <m/>
  </r>
  <r>
    <s v="F/P/K"/>
    <x v="282"/>
    <x v="0"/>
    <s v="Italia"/>
    <x v="209"/>
    <x v="274"/>
    <x v="0"/>
    <m/>
    <m/>
    <x v="5"/>
    <x v="0"/>
    <x v="0"/>
    <x v="0"/>
    <m/>
  </r>
  <r>
    <s v="F/P/K"/>
    <x v="283"/>
    <x v="1"/>
    <s v="Frankreich"/>
    <x v="209"/>
    <x v="142"/>
    <x v="1"/>
    <m/>
    <m/>
    <x v="5"/>
    <x v="0"/>
    <x v="0"/>
    <x v="0"/>
    <m/>
  </r>
  <r>
    <s v="F/P/K"/>
    <x v="284"/>
    <x v="2"/>
    <s v="Österreich"/>
    <x v="209"/>
    <x v="275"/>
    <x v="2"/>
    <m/>
    <m/>
    <x v="5"/>
    <x v="0"/>
    <x v="0"/>
    <x v="0"/>
    <m/>
  </r>
  <r>
    <s v="F/P/K"/>
    <x v="285"/>
    <x v="3"/>
    <s v="Schweiz"/>
    <x v="209"/>
    <x v="276"/>
    <x v="3"/>
    <m/>
    <m/>
    <x v="5"/>
    <x v="0"/>
    <x v="0"/>
    <x v="0"/>
    <m/>
  </r>
  <r>
    <s v="F/P/K"/>
    <x v="286"/>
    <x v="4"/>
    <s v="Kroatien"/>
    <x v="209"/>
    <x v="277"/>
    <x v="4"/>
    <m/>
    <m/>
    <x v="5"/>
    <x v="0"/>
    <x v="0"/>
    <x v="0"/>
    <m/>
  </r>
  <r>
    <s v="F/P/K"/>
    <x v="287"/>
    <x v="5"/>
    <s v="Polen"/>
    <x v="209"/>
    <x v="278"/>
    <x v="5"/>
    <m/>
    <m/>
    <x v="5"/>
    <x v="0"/>
    <x v="0"/>
    <x v="0"/>
    <m/>
  </r>
  <r>
    <s v="F/P/K"/>
    <x v="288"/>
    <x v="0"/>
    <s v="Belgien"/>
    <x v="209"/>
    <x v="279"/>
    <x v="0"/>
    <m/>
    <m/>
    <x v="5"/>
    <x v="0"/>
    <x v="0"/>
    <x v="0"/>
    <m/>
  </r>
  <r>
    <s v="F/P/K"/>
    <x v="289"/>
    <x v="1"/>
    <s v="Niederlande"/>
    <x v="209"/>
    <x v="280"/>
    <x v="1"/>
    <m/>
    <m/>
    <x v="5"/>
    <x v="0"/>
    <x v="0"/>
    <x v="0"/>
    <m/>
  </r>
  <r>
    <s v="F/P/K"/>
    <x v="290"/>
    <x v="2"/>
    <s v="Deutschland"/>
    <x v="209"/>
    <x v="281"/>
    <x v="2"/>
    <m/>
    <m/>
    <x v="5"/>
    <x v="0"/>
    <x v="0"/>
    <x v="0"/>
    <m/>
  </r>
  <r>
    <s v="F/P/K"/>
    <x v="291"/>
    <x v="3"/>
    <s v="Luxemburg"/>
    <x v="209"/>
    <x v="208"/>
    <x v="3"/>
    <m/>
    <m/>
    <x v="5"/>
    <x v="0"/>
    <x v="0"/>
    <x v="0"/>
    <m/>
  </r>
  <r>
    <s v="F/P/K"/>
    <x v="292"/>
    <x v="4"/>
    <s v="Italia"/>
    <x v="209"/>
    <x v="282"/>
    <x v="4"/>
    <m/>
    <m/>
    <x v="5"/>
    <x v="0"/>
    <x v="0"/>
    <x v="0"/>
    <m/>
  </r>
  <r>
    <s v="F/P/K"/>
    <x v="293"/>
    <x v="5"/>
    <s v="Frankreich"/>
    <x v="209"/>
    <x v="283"/>
    <x v="5"/>
    <m/>
    <m/>
    <x v="5"/>
    <x v="0"/>
    <x v="0"/>
    <x v="0"/>
    <m/>
  </r>
  <r>
    <s v="F/P/K"/>
    <x v="294"/>
    <x v="0"/>
    <s v="Österreich"/>
    <x v="209"/>
    <x v="284"/>
    <x v="0"/>
    <m/>
    <m/>
    <x v="5"/>
    <x v="0"/>
    <x v="0"/>
    <x v="0"/>
    <m/>
  </r>
  <r>
    <s v="F/P/K"/>
    <x v="295"/>
    <x v="1"/>
    <s v="Schweiz"/>
    <x v="209"/>
    <x v="89"/>
    <x v="1"/>
    <m/>
    <m/>
    <x v="5"/>
    <x v="0"/>
    <x v="0"/>
    <x v="0"/>
    <m/>
  </r>
  <r>
    <s v="F/P/K"/>
    <x v="296"/>
    <x v="2"/>
    <s v="Kroatien"/>
    <x v="209"/>
    <x v="42"/>
    <x v="2"/>
    <m/>
    <m/>
    <x v="5"/>
    <x v="0"/>
    <x v="0"/>
    <x v="0"/>
    <m/>
  </r>
  <r>
    <s v="F/P/K"/>
    <x v="297"/>
    <x v="3"/>
    <s v="Polen"/>
    <x v="209"/>
    <x v="285"/>
    <x v="3"/>
    <m/>
    <m/>
    <x v="5"/>
    <x v="0"/>
    <x v="0"/>
    <x v="0"/>
    <m/>
  </r>
  <r>
    <s v="F/P/K"/>
    <x v="298"/>
    <x v="4"/>
    <s v="Belgien"/>
    <x v="209"/>
    <x v="286"/>
    <x v="4"/>
    <m/>
    <m/>
    <x v="5"/>
    <x v="0"/>
    <x v="0"/>
    <x v="0"/>
    <m/>
  </r>
  <r>
    <s v="F/P/K"/>
    <x v="299"/>
    <x v="5"/>
    <s v="Niederlande"/>
    <x v="209"/>
    <x v="287"/>
    <x v="5"/>
    <m/>
    <m/>
    <x v="5"/>
    <x v="0"/>
    <x v="0"/>
    <x v="0"/>
    <m/>
  </r>
  <r>
    <s v="F/P/K"/>
    <x v="300"/>
    <x v="0"/>
    <s v="Deutschland"/>
    <x v="209"/>
    <x v="288"/>
    <x v="0"/>
    <m/>
    <m/>
    <x v="5"/>
    <x v="0"/>
    <x v="0"/>
    <x v="0"/>
    <m/>
  </r>
  <r>
    <s v="F/P/K"/>
    <x v="301"/>
    <x v="1"/>
    <s v="Luxemburg"/>
    <x v="209"/>
    <x v="289"/>
    <x v="1"/>
    <m/>
    <m/>
    <x v="5"/>
    <x v="0"/>
    <x v="0"/>
    <x v="0"/>
    <m/>
  </r>
  <r>
    <s v="F/P/K"/>
    <x v="302"/>
    <x v="2"/>
    <s v="Italia"/>
    <x v="209"/>
    <x v="290"/>
    <x v="2"/>
    <m/>
    <m/>
    <x v="5"/>
    <x v="0"/>
    <x v="0"/>
    <x v="0"/>
    <m/>
  </r>
  <r>
    <s v="F/P/K"/>
    <x v="303"/>
    <x v="3"/>
    <s v="Frankreich"/>
    <x v="209"/>
    <x v="291"/>
    <x v="3"/>
    <m/>
    <m/>
    <x v="5"/>
    <x v="0"/>
    <x v="0"/>
    <x v="0"/>
    <m/>
  </r>
  <r>
    <s v="F/P/K"/>
    <x v="304"/>
    <x v="4"/>
    <s v="Österreich"/>
    <x v="209"/>
    <x v="292"/>
    <x v="4"/>
    <m/>
    <m/>
    <x v="5"/>
    <x v="0"/>
    <x v="0"/>
    <x v="0"/>
    <m/>
  </r>
  <r>
    <s v="F/P/K"/>
    <x v="305"/>
    <x v="5"/>
    <s v="Schweiz"/>
    <x v="209"/>
    <x v="293"/>
    <x v="5"/>
    <m/>
    <m/>
    <x v="5"/>
    <x v="0"/>
    <x v="0"/>
    <x v="0"/>
    <m/>
  </r>
  <r>
    <s v="F/P/K"/>
    <x v="306"/>
    <x v="0"/>
    <s v="Kroatien"/>
    <x v="209"/>
    <x v="294"/>
    <x v="0"/>
    <m/>
    <m/>
    <x v="5"/>
    <x v="0"/>
    <x v="0"/>
    <x v="0"/>
    <m/>
  </r>
  <r>
    <s v="F/P/K"/>
    <x v="307"/>
    <x v="1"/>
    <s v="Polen"/>
    <x v="209"/>
    <x v="295"/>
    <x v="1"/>
    <m/>
    <m/>
    <x v="5"/>
    <x v="0"/>
    <x v="0"/>
    <x v="0"/>
    <m/>
  </r>
  <r>
    <s v="F/P/K"/>
    <x v="308"/>
    <x v="2"/>
    <s v="Belgien"/>
    <x v="209"/>
    <x v="296"/>
    <x v="2"/>
    <m/>
    <m/>
    <x v="5"/>
    <x v="0"/>
    <x v="0"/>
    <x v="0"/>
    <m/>
  </r>
  <r>
    <s v="F/P/K"/>
    <x v="309"/>
    <x v="3"/>
    <s v="Niederlande"/>
    <x v="209"/>
    <x v="297"/>
    <x v="3"/>
    <m/>
    <m/>
    <x v="5"/>
    <x v="0"/>
    <x v="0"/>
    <x v="0"/>
    <m/>
  </r>
  <r>
    <s v="F/P/K"/>
    <x v="310"/>
    <x v="4"/>
    <s v="Deutschland"/>
    <x v="209"/>
    <x v="298"/>
    <x v="4"/>
    <m/>
    <m/>
    <x v="5"/>
    <x v="0"/>
    <x v="0"/>
    <x v="0"/>
    <m/>
  </r>
  <r>
    <s v="F/P/K"/>
    <x v="311"/>
    <x v="5"/>
    <s v="Luxemburg"/>
    <x v="209"/>
    <x v="299"/>
    <x v="5"/>
    <m/>
    <m/>
    <x v="5"/>
    <x v="0"/>
    <x v="0"/>
    <x v="0"/>
    <m/>
  </r>
  <r>
    <s v="F/P/K"/>
    <x v="312"/>
    <x v="0"/>
    <s v="Italia"/>
    <x v="209"/>
    <x v="300"/>
    <x v="0"/>
    <m/>
    <m/>
    <x v="5"/>
    <x v="0"/>
    <x v="0"/>
    <x v="0"/>
    <m/>
  </r>
  <r>
    <s v="F/P/K"/>
    <x v="313"/>
    <x v="1"/>
    <s v="Frankreich"/>
    <x v="209"/>
    <x v="301"/>
    <x v="1"/>
    <m/>
    <m/>
    <x v="5"/>
    <x v="0"/>
    <x v="0"/>
    <x v="0"/>
    <m/>
  </r>
  <r>
    <s v="F/P/K"/>
    <x v="314"/>
    <x v="2"/>
    <s v="Österreich"/>
    <x v="209"/>
    <x v="302"/>
    <x v="2"/>
    <m/>
    <m/>
    <x v="5"/>
    <x v="0"/>
    <x v="0"/>
    <x v="0"/>
    <m/>
  </r>
  <r>
    <s v="F/P/K"/>
    <x v="315"/>
    <x v="3"/>
    <s v="Schweiz"/>
    <x v="209"/>
    <x v="303"/>
    <x v="3"/>
    <m/>
    <m/>
    <x v="5"/>
    <x v="0"/>
    <x v="0"/>
    <x v="0"/>
    <m/>
  </r>
  <r>
    <s v="F/P/K"/>
    <x v="316"/>
    <x v="4"/>
    <s v="Kroatien"/>
    <x v="209"/>
    <x v="304"/>
    <x v="4"/>
    <m/>
    <m/>
    <x v="5"/>
    <x v="0"/>
    <x v="0"/>
    <x v="0"/>
    <m/>
  </r>
  <r>
    <s v="F/P/K"/>
    <x v="317"/>
    <x v="5"/>
    <s v="Polen"/>
    <x v="209"/>
    <x v="305"/>
    <x v="5"/>
    <m/>
    <m/>
    <x v="5"/>
    <x v="0"/>
    <x v="0"/>
    <x v="0"/>
    <m/>
  </r>
  <r>
    <s v="F/P/K"/>
    <x v="318"/>
    <x v="0"/>
    <s v="Belgien"/>
    <x v="209"/>
    <x v="306"/>
    <x v="0"/>
    <m/>
    <m/>
    <x v="5"/>
    <x v="0"/>
    <x v="0"/>
    <x v="0"/>
    <m/>
  </r>
  <r>
    <s v="F/P/K"/>
    <x v="319"/>
    <x v="1"/>
    <s v="Niederlande"/>
    <x v="209"/>
    <x v="307"/>
    <x v="1"/>
    <m/>
    <m/>
    <x v="5"/>
    <x v="0"/>
    <x v="0"/>
    <x v="0"/>
    <m/>
  </r>
  <r>
    <s v="F/P/K"/>
    <x v="320"/>
    <x v="2"/>
    <s v="Deutschland"/>
    <x v="209"/>
    <x v="308"/>
    <x v="2"/>
    <m/>
    <m/>
    <x v="5"/>
    <x v="0"/>
    <x v="0"/>
    <x v="0"/>
    <m/>
  </r>
  <r>
    <s v="F/P/K"/>
    <x v="321"/>
    <x v="3"/>
    <s v="Luxemburg"/>
    <x v="209"/>
    <x v="309"/>
    <x v="3"/>
    <m/>
    <m/>
    <x v="5"/>
    <x v="0"/>
    <x v="0"/>
    <x v="0"/>
    <m/>
  </r>
  <r>
    <s v="F/P/K"/>
    <x v="322"/>
    <x v="4"/>
    <s v="Italia"/>
    <x v="209"/>
    <x v="310"/>
    <x v="4"/>
    <m/>
    <m/>
    <x v="5"/>
    <x v="0"/>
    <x v="0"/>
    <x v="0"/>
    <m/>
  </r>
  <r>
    <s v="F/P/K"/>
    <x v="323"/>
    <x v="5"/>
    <s v="Frankreich"/>
    <x v="209"/>
    <x v="311"/>
    <x v="5"/>
    <m/>
    <m/>
    <x v="5"/>
    <x v="0"/>
    <x v="0"/>
    <x v="0"/>
    <m/>
  </r>
  <r>
    <s v="F/P/K"/>
    <x v="324"/>
    <x v="0"/>
    <s v="Österreich"/>
    <x v="209"/>
    <x v="312"/>
    <x v="0"/>
    <m/>
    <m/>
    <x v="5"/>
    <x v="0"/>
    <x v="0"/>
    <x v="0"/>
    <m/>
  </r>
  <r>
    <s v="F/P/K"/>
    <x v="325"/>
    <x v="1"/>
    <s v="Schweiz"/>
    <x v="209"/>
    <x v="313"/>
    <x v="1"/>
    <m/>
    <m/>
    <x v="5"/>
    <x v="0"/>
    <x v="0"/>
    <x v="0"/>
    <m/>
  </r>
  <r>
    <s v="F/P/K"/>
    <x v="326"/>
    <x v="2"/>
    <s v="Kroatien"/>
    <x v="209"/>
    <x v="314"/>
    <x v="2"/>
    <m/>
    <m/>
    <x v="5"/>
    <x v="0"/>
    <x v="0"/>
    <x v="0"/>
    <m/>
  </r>
  <r>
    <s v="F/P/K"/>
    <x v="327"/>
    <x v="3"/>
    <s v="Polen"/>
    <x v="209"/>
    <x v="315"/>
    <x v="3"/>
    <m/>
    <m/>
    <x v="5"/>
    <x v="0"/>
    <x v="0"/>
    <x v="0"/>
    <m/>
  </r>
  <r>
    <s v="F/P/K"/>
    <x v="328"/>
    <x v="4"/>
    <s v="Belgien"/>
    <x v="209"/>
    <x v="316"/>
    <x v="4"/>
    <m/>
    <m/>
    <x v="5"/>
    <x v="0"/>
    <x v="0"/>
    <x v="0"/>
    <m/>
  </r>
  <r>
    <s v="F/P/K"/>
    <x v="329"/>
    <x v="5"/>
    <s v="Niederlande"/>
    <x v="209"/>
    <x v="317"/>
    <x v="5"/>
    <m/>
    <m/>
    <x v="5"/>
    <x v="0"/>
    <x v="0"/>
    <x v="0"/>
    <m/>
  </r>
  <r>
    <s v="F/P/K"/>
    <x v="330"/>
    <x v="0"/>
    <s v="Deutschland"/>
    <x v="209"/>
    <x v="78"/>
    <x v="0"/>
    <m/>
    <m/>
    <x v="5"/>
    <x v="0"/>
    <x v="0"/>
    <x v="0"/>
    <m/>
  </r>
  <r>
    <s v="F/P/K"/>
    <x v="331"/>
    <x v="1"/>
    <s v="Luxemburg"/>
    <x v="209"/>
    <x v="318"/>
    <x v="1"/>
    <m/>
    <m/>
    <x v="5"/>
    <x v="0"/>
    <x v="0"/>
    <x v="0"/>
    <m/>
  </r>
  <r>
    <s v="F/P/K"/>
    <x v="332"/>
    <x v="2"/>
    <s v="Italia"/>
    <x v="209"/>
    <x v="319"/>
    <x v="2"/>
    <m/>
    <m/>
    <x v="5"/>
    <x v="0"/>
    <x v="0"/>
    <x v="0"/>
    <m/>
  </r>
  <r>
    <s v="F/P/K"/>
    <x v="333"/>
    <x v="3"/>
    <s v="Frankreich"/>
    <x v="209"/>
    <x v="320"/>
    <x v="3"/>
    <m/>
    <m/>
    <x v="5"/>
    <x v="0"/>
    <x v="0"/>
    <x v="0"/>
    <m/>
  </r>
  <r>
    <s v="F/P/K"/>
    <x v="334"/>
    <x v="4"/>
    <s v="Österreich"/>
    <x v="209"/>
    <x v="321"/>
    <x v="4"/>
    <m/>
    <m/>
    <x v="5"/>
    <x v="0"/>
    <x v="0"/>
    <x v="0"/>
    <m/>
  </r>
  <r>
    <s v="F/P/K"/>
    <x v="335"/>
    <x v="5"/>
    <s v="Schweiz"/>
    <x v="209"/>
    <x v="322"/>
    <x v="5"/>
    <m/>
    <m/>
    <x v="5"/>
    <x v="0"/>
    <x v="0"/>
    <x v="0"/>
    <m/>
  </r>
  <r>
    <s v="F/P/K"/>
    <x v="336"/>
    <x v="0"/>
    <s v="Kroatien"/>
    <x v="209"/>
    <x v="323"/>
    <x v="0"/>
    <m/>
    <m/>
    <x v="5"/>
    <x v="0"/>
    <x v="0"/>
    <x v="0"/>
    <m/>
  </r>
  <r>
    <s v="F/P/K"/>
    <x v="337"/>
    <x v="1"/>
    <s v="Polen"/>
    <x v="209"/>
    <x v="324"/>
    <x v="1"/>
    <m/>
    <m/>
    <x v="5"/>
    <x v="0"/>
    <x v="0"/>
    <x v="0"/>
    <m/>
  </r>
  <r>
    <s v="F/P/K"/>
    <x v="338"/>
    <x v="2"/>
    <s v="Belgien"/>
    <x v="209"/>
    <x v="325"/>
    <x v="2"/>
    <m/>
    <m/>
    <x v="5"/>
    <x v="0"/>
    <x v="0"/>
    <x v="0"/>
    <m/>
  </r>
  <r>
    <s v="F/P/K"/>
    <x v="339"/>
    <x v="3"/>
    <s v="Niederlande"/>
    <x v="209"/>
    <x v="326"/>
    <x v="3"/>
    <m/>
    <m/>
    <x v="5"/>
    <x v="0"/>
    <x v="0"/>
    <x v="0"/>
    <m/>
  </r>
  <r>
    <s v="F/P/K"/>
    <x v="340"/>
    <x v="4"/>
    <s v="Deutschland"/>
    <x v="209"/>
    <x v="327"/>
    <x v="4"/>
    <m/>
    <m/>
    <x v="5"/>
    <x v="0"/>
    <x v="0"/>
    <x v="0"/>
    <m/>
  </r>
  <r>
    <s v="F/P/K"/>
    <x v="341"/>
    <x v="5"/>
    <s v="Luxemburg"/>
    <x v="209"/>
    <x v="328"/>
    <x v="5"/>
    <m/>
    <m/>
    <x v="5"/>
    <x v="0"/>
    <x v="0"/>
    <x v="0"/>
    <m/>
  </r>
  <r>
    <s v="F/P/K"/>
    <x v="342"/>
    <x v="0"/>
    <s v="Italia"/>
    <x v="209"/>
    <x v="329"/>
    <x v="0"/>
    <m/>
    <m/>
    <x v="5"/>
    <x v="0"/>
    <x v="0"/>
    <x v="0"/>
    <m/>
  </r>
  <r>
    <s v="F/P/K"/>
    <x v="343"/>
    <x v="1"/>
    <s v="Frankreich"/>
    <x v="209"/>
    <x v="330"/>
    <x v="1"/>
    <m/>
    <m/>
    <x v="5"/>
    <x v="0"/>
    <x v="0"/>
    <x v="0"/>
    <m/>
  </r>
  <r>
    <s v="F/P/K"/>
    <x v="344"/>
    <x v="2"/>
    <s v="Österreich"/>
    <x v="209"/>
    <x v="331"/>
    <x v="2"/>
    <m/>
    <m/>
    <x v="5"/>
    <x v="0"/>
    <x v="0"/>
    <x v="0"/>
    <m/>
  </r>
  <r>
    <s v="F/P/K"/>
    <x v="345"/>
    <x v="3"/>
    <s v="Schweiz"/>
    <x v="209"/>
    <x v="332"/>
    <x v="3"/>
    <m/>
    <m/>
    <x v="5"/>
    <x v="0"/>
    <x v="0"/>
    <x v="0"/>
    <m/>
  </r>
  <r>
    <s v="F/P/K"/>
    <x v="346"/>
    <x v="4"/>
    <s v="Kroatien"/>
    <x v="209"/>
    <x v="333"/>
    <x v="4"/>
    <m/>
    <m/>
    <x v="5"/>
    <x v="0"/>
    <x v="0"/>
    <x v="0"/>
    <m/>
  </r>
  <r>
    <s v="F/P/K"/>
    <x v="347"/>
    <x v="5"/>
    <s v="Polen"/>
    <x v="209"/>
    <x v="334"/>
    <x v="5"/>
    <m/>
    <m/>
    <x v="5"/>
    <x v="0"/>
    <x v="0"/>
    <x v="0"/>
    <m/>
  </r>
  <r>
    <s v="F/P/K"/>
    <x v="348"/>
    <x v="0"/>
    <s v="Belgien"/>
    <x v="209"/>
    <x v="232"/>
    <x v="0"/>
    <m/>
    <m/>
    <x v="5"/>
    <x v="0"/>
    <x v="0"/>
    <x v="0"/>
    <m/>
  </r>
  <r>
    <s v="F/P/K"/>
    <x v="349"/>
    <x v="1"/>
    <s v="Niederlande"/>
    <x v="209"/>
    <x v="335"/>
    <x v="1"/>
    <m/>
    <m/>
    <x v="5"/>
    <x v="0"/>
    <x v="0"/>
    <x v="0"/>
    <m/>
  </r>
  <r>
    <s v="F/P/K"/>
    <x v="350"/>
    <x v="2"/>
    <s v="Deutschland"/>
    <x v="209"/>
    <x v="336"/>
    <x v="2"/>
    <m/>
    <m/>
    <x v="5"/>
    <x v="0"/>
    <x v="0"/>
    <x v="0"/>
    <m/>
  </r>
  <r>
    <s v="F/P/K"/>
    <x v="351"/>
    <x v="3"/>
    <s v="Luxemburg"/>
    <x v="209"/>
    <x v="337"/>
    <x v="3"/>
    <m/>
    <m/>
    <x v="5"/>
    <x v="0"/>
    <x v="0"/>
    <x v="0"/>
    <m/>
  </r>
  <r>
    <s v="F/P/K"/>
    <x v="352"/>
    <x v="4"/>
    <s v="Italia"/>
    <x v="209"/>
    <x v="338"/>
    <x v="4"/>
    <m/>
    <m/>
    <x v="5"/>
    <x v="0"/>
    <x v="0"/>
    <x v="0"/>
    <m/>
  </r>
  <r>
    <s v="F/P/K"/>
    <x v="353"/>
    <x v="5"/>
    <s v="Frankreich"/>
    <x v="209"/>
    <x v="152"/>
    <x v="5"/>
    <m/>
    <m/>
    <x v="5"/>
    <x v="0"/>
    <x v="0"/>
    <x v="0"/>
    <m/>
  </r>
  <r>
    <s v="F/P/K"/>
    <x v="354"/>
    <x v="0"/>
    <s v="Österreich"/>
    <x v="209"/>
    <x v="339"/>
    <x v="0"/>
    <m/>
    <m/>
    <x v="5"/>
    <x v="0"/>
    <x v="0"/>
    <x v="0"/>
    <m/>
  </r>
  <r>
    <s v="F/P/K"/>
    <x v="355"/>
    <x v="1"/>
    <s v="Schweiz"/>
    <x v="209"/>
    <x v="192"/>
    <x v="1"/>
    <m/>
    <m/>
    <x v="5"/>
    <x v="0"/>
    <x v="0"/>
    <x v="0"/>
    <m/>
  </r>
  <r>
    <s v="F/P/K"/>
    <x v="356"/>
    <x v="2"/>
    <s v="Kroatien"/>
    <x v="209"/>
    <x v="340"/>
    <x v="2"/>
    <m/>
    <m/>
    <x v="5"/>
    <x v="0"/>
    <x v="0"/>
    <x v="0"/>
    <m/>
  </r>
  <r>
    <s v="F/P/K"/>
    <x v="357"/>
    <x v="3"/>
    <s v="Polen"/>
    <x v="209"/>
    <x v="341"/>
    <x v="3"/>
    <m/>
    <m/>
    <x v="5"/>
    <x v="0"/>
    <x v="0"/>
    <x v="0"/>
    <m/>
  </r>
  <r>
    <s v="F/P/K"/>
    <x v="358"/>
    <x v="4"/>
    <s v="Belgien"/>
    <x v="209"/>
    <x v="342"/>
    <x v="4"/>
    <m/>
    <m/>
    <x v="5"/>
    <x v="0"/>
    <x v="0"/>
    <x v="0"/>
    <m/>
  </r>
  <r>
    <s v="F/P/K"/>
    <x v="359"/>
    <x v="5"/>
    <s v="Niederlande"/>
    <x v="209"/>
    <x v="186"/>
    <x v="5"/>
    <m/>
    <m/>
    <x v="5"/>
    <x v="0"/>
    <x v="0"/>
    <x v="0"/>
    <m/>
  </r>
  <r>
    <s v="F/P/K"/>
    <x v="360"/>
    <x v="0"/>
    <s v="Deutschland"/>
    <x v="209"/>
    <x v="343"/>
    <x v="0"/>
    <m/>
    <m/>
    <x v="5"/>
    <x v="0"/>
    <x v="0"/>
    <x v="0"/>
    <m/>
  </r>
  <r>
    <s v="F/P/K"/>
    <x v="361"/>
    <x v="1"/>
    <s v="Luxemburg"/>
    <x v="209"/>
    <x v="344"/>
    <x v="1"/>
    <m/>
    <m/>
    <x v="5"/>
    <x v="0"/>
    <x v="0"/>
    <x v="0"/>
    <m/>
  </r>
  <r>
    <s v="F/P/K"/>
    <x v="362"/>
    <x v="2"/>
    <s v="Italia"/>
    <x v="209"/>
    <x v="345"/>
    <x v="2"/>
    <m/>
    <m/>
    <x v="5"/>
    <x v="0"/>
    <x v="0"/>
    <x v="0"/>
    <m/>
  </r>
  <r>
    <s v="F/P/K"/>
    <x v="363"/>
    <x v="3"/>
    <s v="Frankreich"/>
    <x v="209"/>
    <x v="346"/>
    <x v="3"/>
    <m/>
    <m/>
    <x v="5"/>
    <x v="0"/>
    <x v="0"/>
    <x v="0"/>
    <m/>
  </r>
  <r>
    <s v="F/P/K"/>
    <x v="364"/>
    <x v="4"/>
    <s v="Österreich"/>
    <x v="209"/>
    <x v="347"/>
    <x v="4"/>
    <m/>
    <m/>
    <x v="5"/>
    <x v="0"/>
    <x v="0"/>
    <x v="0"/>
    <m/>
  </r>
  <r>
    <s v="M"/>
    <x v="0"/>
    <x v="6"/>
    <m/>
    <x v="209"/>
    <x v="348"/>
    <x v="6"/>
    <m/>
    <m/>
    <x v="5"/>
    <x v="1"/>
    <x v="1"/>
    <x v="1"/>
    <m/>
  </r>
  <r>
    <s v="M"/>
    <x v="31"/>
    <x v="6"/>
    <m/>
    <x v="209"/>
    <x v="348"/>
    <x v="6"/>
    <m/>
    <m/>
    <x v="5"/>
    <x v="1"/>
    <x v="2"/>
    <x v="2"/>
    <m/>
  </r>
  <r>
    <s v="M"/>
    <x v="59"/>
    <x v="6"/>
    <m/>
    <x v="209"/>
    <x v="348"/>
    <x v="6"/>
    <m/>
    <m/>
    <x v="5"/>
    <x v="1"/>
    <x v="3"/>
    <x v="1"/>
    <m/>
  </r>
  <r>
    <s v="M"/>
    <x v="90"/>
    <x v="6"/>
    <m/>
    <x v="209"/>
    <x v="348"/>
    <x v="6"/>
    <m/>
    <m/>
    <x v="5"/>
    <x v="1"/>
    <x v="4"/>
    <x v="3"/>
    <m/>
  </r>
  <r>
    <s v="M"/>
    <x v="120"/>
    <x v="6"/>
    <m/>
    <x v="209"/>
    <x v="348"/>
    <x v="6"/>
    <m/>
    <m/>
    <x v="5"/>
    <x v="1"/>
    <x v="5"/>
    <x v="3"/>
    <m/>
  </r>
  <r>
    <s v="M"/>
    <x v="151"/>
    <x v="6"/>
    <m/>
    <x v="209"/>
    <x v="348"/>
    <x v="6"/>
    <m/>
    <m/>
    <x v="5"/>
    <x v="1"/>
    <x v="5"/>
    <x v="3"/>
    <m/>
  </r>
  <r>
    <s v="M"/>
    <x v="181"/>
    <x v="6"/>
    <m/>
    <x v="209"/>
    <x v="348"/>
    <x v="6"/>
    <m/>
    <m/>
    <x v="5"/>
    <x v="1"/>
    <x v="5"/>
    <x v="3"/>
    <m/>
  </r>
  <r>
    <s v="M"/>
    <x v="0"/>
    <x v="6"/>
    <m/>
    <x v="209"/>
    <x v="348"/>
    <x v="6"/>
    <m/>
    <m/>
    <x v="5"/>
    <x v="2"/>
    <x v="6"/>
    <x v="4"/>
    <m/>
  </r>
  <r>
    <s v="M"/>
    <x v="31"/>
    <x v="6"/>
    <m/>
    <x v="209"/>
    <x v="348"/>
    <x v="6"/>
    <m/>
    <m/>
    <x v="5"/>
    <x v="2"/>
    <x v="6"/>
    <x v="5"/>
    <m/>
  </r>
  <r>
    <s v="M"/>
    <x v="59"/>
    <x v="6"/>
    <m/>
    <x v="209"/>
    <x v="348"/>
    <x v="6"/>
    <m/>
    <m/>
    <x v="5"/>
    <x v="2"/>
    <x v="6"/>
    <x v="6"/>
    <m/>
  </r>
  <r>
    <s v="M"/>
    <x v="90"/>
    <x v="6"/>
    <m/>
    <x v="209"/>
    <x v="348"/>
    <x v="6"/>
    <m/>
    <m/>
    <x v="5"/>
    <x v="2"/>
    <x v="7"/>
    <x v="7"/>
    <m/>
  </r>
  <r>
    <s v="M"/>
    <x v="120"/>
    <x v="6"/>
    <m/>
    <x v="209"/>
    <x v="348"/>
    <x v="6"/>
    <m/>
    <m/>
    <x v="5"/>
    <x v="2"/>
    <x v="8"/>
    <x v="8"/>
    <m/>
  </r>
  <r>
    <s v="M"/>
    <x v="151"/>
    <x v="6"/>
    <m/>
    <x v="209"/>
    <x v="348"/>
    <x v="6"/>
    <m/>
    <m/>
    <x v="5"/>
    <x v="2"/>
    <x v="9"/>
    <x v="9"/>
    <m/>
  </r>
  <r>
    <s v="M"/>
    <x v="181"/>
    <x v="6"/>
    <m/>
    <x v="209"/>
    <x v="348"/>
    <x v="6"/>
    <m/>
    <m/>
    <x v="5"/>
    <x v="2"/>
    <x v="10"/>
    <x v="10"/>
    <m/>
  </r>
  <r>
    <s v="M"/>
    <x v="0"/>
    <x v="6"/>
    <m/>
    <x v="209"/>
    <x v="348"/>
    <x v="6"/>
    <m/>
    <m/>
    <x v="5"/>
    <x v="3"/>
    <x v="11"/>
    <x v="4"/>
    <m/>
  </r>
  <r>
    <s v="M"/>
    <x v="31"/>
    <x v="6"/>
    <m/>
    <x v="209"/>
    <x v="348"/>
    <x v="6"/>
    <m/>
    <m/>
    <x v="5"/>
    <x v="3"/>
    <x v="11"/>
    <x v="5"/>
    <m/>
  </r>
  <r>
    <s v="M"/>
    <x v="59"/>
    <x v="6"/>
    <m/>
    <x v="209"/>
    <x v="348"/>
    <x v="6"/>
    <m/>
    <m/>
    <x v="5"/>
    <x v="3"/>
    <x v="5"/>
    <x v="5"/>
    <m/>
  </r>
  <r>
    <s v="M"/>
    <x v="90"/>
    <x v="6"/>
    <m/>
    <x v="209"/>
    <x v="348"/>
    <x v="6"/>
    <m/>
    <m/>
    <x v="5"/>
    <x v="3"/>
    <x v="5"/>
    <x v="7"/>
    <m/>
  </r>
  <r>
    <s v="M"/>
    <x v="120"/>
    <x v="6"/>
    <m/>
    <x v="209"/>
    <x v="348"/>
    <x v="6"/>
    <m/>
    <m/>
    <x v="5"/>
    <x v="3"/>
    <x v="1"/>
    <x v="8"/>
    <m/>
  </r>
  <r>
    <s v="M"/>
    <x v="151"/>
    <x v="6"/>
    <m/>
    <x v="209"/>
    <x v="348"/>
    <x v="6"/>
    <m/>
    <m/>
    <x v="5"/>
    <x v="3"/>
    <x v="3"/>
    <x v="8"/>
    <m/>
  </r>
  <r>
    <s v="M"/>
    <x v="181"/>
    <x v="6"/>
    <m/>
    <x v="209"/>
    <x v="348"/>
    <x v="6"/>
    <m/>
    <m/>
    <x v="5"/>
    <x v="3"/>
    <x v="3"/>
    <x v="9"/>
    <m/>
  </r>
  <r>
    <s v="M"/>
    <x v="0"/>
    <x v="6"/>
    <m/>
    <x v="209"/>
    <x v="348"/>
    <x v="6"/>
    <m/>
    <m/>
    <x v="5"/>
    <x v="4"/>
    <x v="12"/>
    <x v="1"/>
    <m/>
  </r>
  <r>
    <s v="M"/>
    <x v="31"/>
    <x v="6"/>
    <m/>
    <x v="209"/>
    <x v="348"/>
    <x v="6"/>
    <m/>
    <m/>
    <x v="5"/>
    <x v="4"/>
    <x v="12"/>
    <x v="1"/>
    <m/>
  </r>
  <r>
    <s v="M"/>
    <x v="59"/>
    <x v="6"/>
    <m/>
    <x v="209"/>
    <x v="348"/>
    <x v="6"/>
    <m/>
    <m/>
    <x v="5"/>
    <x v="4"/>
    <x v="12"/>
    <x v="1"/>
    <m/>
  </r>
  <r>
    <s v="M"/>
    <x v="90"/>
    <x v="6"/>
    <m/>
    <x v="209"/>
    <x v="348"/>
    <x v="6"/>
    <m/>
    <m/>
    <x v="5"/>
    <x v="4"/>
    <x v="12"/>
    <x v="1"/>
    <m/>
  </r>
  <r>
    <s v="M"/>
    <x v="120"/>
    <x v="6"/>
    <m/>
    <x v="209"/>
    <x v="348"/>
    <x v="6"/>
    <m/>
    <m/>
    <x v="5"/>
    <x v="4"/>
    <x v="12"/>
    <x v="3"/>
    <m/>
  </r>
  <r>
    <s v="M"/>
    <x v="151"/>
    <x v="6"/>
    <m/>
    <x v="209"/>
    <x v="348"/>
    <x v="6"/>
    <m/>
    <m/>
    <x v="5"/>
    <x v="4"/>
    <x v="12"/>
    <x v="4"/>
    <m/>
  </r>
  <r>
    <s v="M"/>
    <x v="181"/>
    <x v="6"/>
    <m/>
    <x v="209"/>
    <x v="348"/>
    <x v="6"/>
    <m/>
    <m/>
    <x v="5"/>
    <x v="4"/>
    <x v="12"/>
    <x v="11"/>
    <m/>
  </r>
  <r>
    <s v="P"/>
    <x v="365"/>
    <x v="0"/>
    <m/>
    <x v="209"/>
    <x v="348"/>
    <x v="6"/>
    <m/>
    <m/>
    <x v="5"/>
    <x v="0"/>
    <x v="0"/>
    <x v="0"/>
    <s v="Bern"/>
  </r>
  <r>
    <s v="P"/>
    <x v="365"/>
    <x v="1"/>
    <m/>
    <x v="209"/>
    <x v="348"/>
    <x v="6"/>
    <m/>
    <m/>
    <x v="5"/>
    <x v="0"/>
    <x v="0"/>
    <x v="0"/>
    <s v="Zürich"/>
  </r>
  <r>
    <s v="P"/>
    <x v="365"/>
    <x v="2"/>
    <m/>
    <x v="209"/>
    <x v="348"/>
    <x v="6"/>
    <m/>
    <m/>
    <x v="5"/>
    <x v="0"/>
    <x v="0"/>
    <x v="0"/>
    <s v="Zürich"/>
  </r>
  <r>
    <s v="P"/>
    <x v="365"/>
    <x v="3"/>
    <m/>
    <x v="209"/>
    <x v="348"/>
    <x v="6"/>
    <m/>
    <m/>
    <x v="5"/>
    <x v="0"/>
    <x v="0"/>
    <x v="0"/>
    <s v="Zürich"/>
  </r>
  <r>
    <s v="P"/>
    <x v="365"/>
    <x v="4"/>
    <m/>
    <x v="209"/>
    <x v="348"/>
    <x v="6"/>
    <m/>
    <m/>
    <x v="5"/>
    <x v="0"/>
    <x v="0"/>
    <x v="0"/>
    <s v="Lausanne"/>
  </r>
  <r>
    <s v="P"/>
    <x v="365"/>
    <x v="5"/>
    <m/>
    <x v="209"/>
    <x v="348"/>
    <x v="6"/>
    <m/>
    <m/>
    <x v="5"/>
    <x v="0"/>
    <x v="0"/>
    <x v="0"/>
    <s v="Lausanne"/>
  </r>
  <r>
    <s v="P"/>
    <x v="365"/>
    <x v="0"/>
    <m/>
    <x v="209"/>
    <x v="348"/>
    <x v="6"/>
    <m/>
    <m/>
    <x v="5"/>
    <x v="0"/>
    <x v="0"/>
    <x v="0"/>
    <s v="Lausanne"/>
  </r>
  <r>
    <s v="P"/>
    <x v="365"/>
    <x v="1"/>
    <m/>
    <x v="209"/>
    <x v="348"/>
    <x v="6"/>
    <m/>
    <m/>
    <x v="5"/>
    <x v="0"/>
    <x v="0"/>
    <x v="0"/>
    <s v="Lausanne"/>
  </r>
  <r>
    <s v="P"/>
    <x v="365"/>
    <x v="2"/>
    <m/>
    <x v="209"/>
    <x v="348"/>
    <x v="6"/>
    <m/>
    <m/>
    <x v="5"/>
    <x v="0"/>
    <x v="0"/>
    <x v="0"/>
    <s v="Zug"/>
  </r>
  <r>
    <s v="P"/>
    <x v="365"/>
    <x v="2"/>
    <m/>
    <x v="209"/>
    <x v="348"/>
    <x v="6"/>
    <m/>
    <m/>
    <x v="5"/>
    <x v="0"/>
    <x v="0"/>
    <x v="0"/>
    <s v="Landquart"/>
  </r>
  <r>
    <s v="P"/>
    <x v="365"/>
    <x v="3"/>
    <m/>
    <x v="209"/>
    <x v="348"/>
    <x v="6"/>
    <m/>
    <m/>
    <x v="5"/>
    <x v="0"/>
    <x v="0"/>
    <x v="0"/>
    <s v="Landquart"/>
  </r>
  <r>
    <s v="P"/>
    <x v="365"/>
    <x v="0"/>
    <m/>
    <x v="209"/>
    <x v="348"/>
    <x v="6"/>
    <m/>
    <m/>
    <x v="5"/>
    <x v="0"/>
    <x v="0"/>
    <x v="0"/>
    <s v="Landquar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C3C7C-B298-EA42-96D6-25C82A7C4963}" name="PivotTable5" cacheId="2"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chartFormat="7">
  <location ref="A1:C14" firstHeaderRow="0" firstDataRow="1" firstDataCol="1"/>
  <pivotFields count="14">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0"/>
        <item x="1"/>
        <item x="2"/>
        <item x="3"/>
        <item x="4"/>
        <item x="5"/>
        <item x="6"/>
        <item t="default"/>
      </items>
    </pivotField>
    <pivotField showAll="0">
      <items count="12">
        <item x="8"/>
        <item x="0"/>
        <item x="3"/>
        <item x="2"/>
        <item x="6"/>
        <item x="1"/>
        <item x="9"/>
        <item x="4"/>
        <item x="7"/>
        <item x="5"/>
        <item x="10"/>
        <item t="default"/>
      </items>
    </pivotField>
    <pivotField dataField="1" showAll="0">
      <items count="211">
        <item x="66"/>
        <item x="127"/>
        <item x="54"/>
        <item x="145"/>
        <item x="100"/>
        <item x="2"/>
        <item x="181"/>
        <item x="174"/>
        <item x="178"/>
        <item x="138"/>
        <item x="162"/>
        <item x="69"/>
        <item x="8"/>
        <item x="200"/>
        <item x="179"/>
        <item x="63"/>
        <item x="151"/>
        <item x="11"/>
        <item x="98"/>
        <item x="28"/>
        <item x="35"/>
        <item x="29"/>
        <item x="106"/>
        <item x="112"/>
        <item x="137"/>
        <item x="125"/>
        <item x="126"/>
        <item x="75"/>
        <item x="165"/>
        <item x="87"/>
        <item x="58"/>
        <item x="60"/>
        <item x="109"/>
        <item x="204"/>
        <item x="140"/>
        <item x="134"/>
        <item x="30"/>
        <item x="203"/>
        <item x="189"/>
        <item x="93"/>
        <item x="111"/>
        <item x="202"/>
        <item x="3"/>
        <item x="167"/>
        <item x="0"/>
        <item x="78"/>
        <item x="26"/>
        <item x="71"/>
        <item x="164"/>
        <item x="107"/>
        <item x="46"/>
        <item x="97"/>
        <item x="52"/>
        <item x="194"/>
        <item x="10"/>
        <item x="34"/>
        <item x="149"/>
        <item x="120"/>
        <item x="68"/>
        <item x="196"/>
        <item x="184"/>
        <item x="199"/>
        <item x="44"/>
        <item x="136"/>
        <item x="55"/>
        <item x="128"/>
        <item x="131"/>
        <item x="6"/>
        <item x="49"/>
        <item x="92"/>
        <item x="5"/>
        <item x="159"/>
        <item x="23"/>
        <item x="135"/>
        <item x="195"/>
        <item x="153"/>
        <item x="18"/>
        <item x="171"/>
        <item x="33"/>
        <item x="123"/>
        <item x="16"/>
        <item x="89"/>
        <item x="84"/>
        <item x="197"/>
        <item x="77"/>
        <item x="43"/>
        <item x="50"/>
        <item x="177"/>
        <item x="170"/>
        <item x="62"/>
        <item x="79"/>
        <item x="17"/>
        <item x="27"/>
        <item x="102"/>
        <item x="185"/>
        <item x="40"/>
        <item x="85"/>
        <item x="144"/>
        <item x="157"/>
        <item x="88"/>
        <item x="206"/>
        <item x="81"/>
        <item x="176"/>
        <item x="51"/>
        <item x="24"/>
        <item x="57"/>
        <item x="76"/>
        <item x="166"/>
        <item x="1"/>
        <item x="67"/>
        <item x="118"/>
        <item x="70"/>
        <item x="155"/>
        <item x="132"/>
        <item x="48"/>
        <item x="146"/>
        <item x="154"/>
        <item x="99"/>
        <item x="72"/>
        <item x="22"/>
        <item x="119"/>
        <item x="180"/>
        <item x="129"/>
        <item x="86"/>
        <item x="191"/>
        <item x="142"/>
        <item x="9"/>
        <item x="116"/>
        <item x="20"/>
        <item x="147"/>
        <item x="105"/>
        <item x="19"/>
        <item x="160"/>
        <item x="21"/>
        <item x="74"/>
        <item x="163"/>
        <item x="183"/>
        <item x="117"/>
        <item x="13"/>
        <item x="7"/>
        <item x="104"/>
        <item x="188"/>
        <item x="101"/>
        <item x="37"/>
        <item x="59"/>
        <item x="14"/>
        <item x="91"/>
        <item x="141"/>
        <item x="207"/>
        <item x="4"/>
        <item x="169"/>
        <item x="47"/>
        <item x="172"/>
        <item x="39"/>
        <item x="161"/>
        <item x="124"/>
        <item x="156"/>
        <item x="133"/>
        <item x="25"/>
        <item x="80"/>
        <item x="186"/>
        <item x="56"/>
        <item x="110"/>
        <item x="187"/>
        <item x="73"/>
        <item x="12"/>
        <item x="15"/>
        <item x="65"/>
        <item x="83"/>
        <item x="143"/>
        <item x="208"/>
        <item x="114"/>
        <item x="53"/>
        <item x="38"/>
        <item x="148"/>
        <item x="150"/>
        <item x="90"/>
        <item x="115"/>
        <item x="192"/>
        <item x="36"/>
        <item x="82"/>
        <item x="130"/>
        <item x="42"/>
        <item x="64"/>
        <item x="193"/>
        <item x="122"/>
        <item x="45"/>
        <item x="61"/>
        <item x="205"/>
        <item x="182"/>
        <item x="31"/>
        <item x="198"/>
        <item x="168"/>
        <item x="121"/>
        <item x="175"/>
        <item x="32"/>
        <item x="173"/>
        <item x="190"/>
        <item x="96"/>
        <item x="113"/>
        <item x="41"/>
        <item x="95"/>
        <item x="108"/>
        <item x="103"/>
        <item x="94"/>
        <item x="201"/>
        <item x="152"/>
        <item x="139"/>
        <item x="158"/>
        <item x="209"/>
        <item t="default"/>
      </items>
    </pivotField>
    <pivotField dataField="1" showAll="0">
      <items count="350">
        <item x="260"/>
        <item x="186"/>
        <item x="226"/>
        <item x="194"/>
        <item x="27"/>
        <item x="136"/>
        <item x="100"/>
        <item x="294"/>
        <item x="18"/>
        <item x="291"/>
        <item x="120"/>
        <item x="227"/>
        <item x="341"/>
        <item x="224"/>
        <item x="151"/>
        <item x="218"/>
        <item x="273"/>
        <item x="3"/>
        <item x="25"/>
        <item x="337"/>
        <item x="160"/>
        <item x="318"/>
        <item x="235"/>
        <item x="137"/>
        <item x="76"/>
        <item x="275"/>
        <item x="315"/>
        <item x="303"/>
        <item x="164"/>
        <item x="206"/>
        <item x="166"/>
        <item x="127"/>
        <item x="26"/>
        <item x="280"/>
        <item x="314"/>
        <item x="171"/>
        <item x="157"/>
        <item x="138"/>
        <item x="228"/>
        <item x="319"/>
        <item x="249"/>
        <item x="95"/>
        <item x="46"/>
        <item x="262"/>
        <item x="169"/>
        <item x="240"/>
        <item x="21"/>
        <item x="7"/>
        <item x="89"/>
        <item x="266"/>
        <item x="261"/>
        <item x="114"/>
        <item x="172"/>
        <item x="242"/>
        <item x="345"/>
        <item x="99"/>
        <item x="241"/>
        <item x="135"/>
        <item x="289"/>
        <item x="170"/>
        <item x="71"/>
        <item x="344"/>
        <item x="88"/>
        <item x="204"/>
        <item x="34"/>
        <item x="173"/>
        <item x="62"/>
        <item x="325"/>
        <item x="140"/>
        <item x="248"/>
        <item x="277"/>
        <item x="276"/>
        <item x="198"/>
        <item x="192"/>
        <item x="6"/>
        <item x="203"/>
        <item x="285"/>
        <item x="72"/>
        <item x="31"/>
        <item x="51"/>
        <item x="233"/>
        <item x="55"/>
        <item x="73"/>
        <item x="83"/>
        <item x="185"/>
        <item x="230"/>
        <item x="307"/>
        <item x="231"/>
        <item x="52"/>
        <item x="61"/>
        <item x="221"/>
        <item x="144"/>
        <item x="125"/>
        <item x="64"/>
        <item x="65"/>
        <item x="175"/>
        <item x="225"/>
        <item x="210"/>
        <item x="16"/>
        <item x="267"/>
        <item x="181"/>
        <item x="98"/>
        <item x="330"/>
        <item x="32"/>
        <item x="212"/>
        <item x="132"/>
        <item x="333"/>
        <item x="115"/>
        <item x="75"/>
        <item x="180"/>
        <item x="81"/>
        <item x="301"/>
        <item x="346"/>
        <item x="45"/>
        <item x="57"/>
        <item x="201"/>
        <item x="38"/>
        <item x="23"/>
        <item x="279"/>
        <item x="322"/>
        <item x="77"/>
        <item x="165"/>
        <item x="190"/>
        <item x="347"/>
        <item x="70"/>
        <item x="272"/>
        <item x="255"/>
        <item x="156"/>
        <item x="243"/>
        <item x="299"/>
        <item x="211"/>
        <item x="163"/>
        <item x="158"/>
        <item x="196"/>
        <item x="101"/>
        <item x="323"/>
        <item x="35"/>
        <item x="313"/>
        <item x="305"/>
        <item x="131"/>
        <item x="302"/>
        <item x="259"/>
        <item x="47"/>
        <item x="20"/>
        <item x="326"/>
        <item x="162"/>
        <item x="148"/>
        <item x="117"/>
        <item x="317"/>
        <item x="10"/>
        <item x="274"/>
        <item x="93"/>
        <item x="56"/>
        <item x="53"/>
        <item x="5"/>
        <item x="49"/>
        <item x="1"/>
        <item x="103"/>
        <item x="300"/>
        <item x="197"/>
        <item x="253"/>
        <item x="207"/>
        <item x="177"/>
        <item x="232"/>
        <item x="44"/>
        <item x="13"/>
        <item x="133"/>
        <item x="328"/>
        <item x="183"/>
        <item x="14"/>
        <item x="104"/>
        <item x="113"/>
        <item x="41"/>
        <item x="121"/>
        <item x="161"/>
        <item x="69"/>
        <item x="187"/>
        <item x="63"/>
        <item x="39"/>
        <item x="239"/>
        <item x="94"/>
        <item x="15"/>
        <item x="324"/>
        <item x="147"/>
        <item x="82"/>
        <item x="80"/>
        <item x="66"/>
        <item x="33"/>
        <item x="306"/>
        <item x="281"/>
        <item x="28"/>
        <item x="263"/>
        <item x="126"/>
        <item x="176"/>
        <item x="24"/>
        <item x="312"/>
        <item x="153"/>
        <item x="79"/>
        <item x="298"/>
        <item x="265"/>
        <item x="308"/>
        <item x="296"/>
        <item x="245"/>
        <item x="130"/>
        <item x="48"/>
        <item x="340"/>
        <item x="119"/>
        <item x="123"/>
        <item x="43"/>
        <item x="60"/>
        <item x="236"/>
        <item x="215"/>
        <item x="338"/>
        <item x="8"/>
        <item x="178"/>
        <item x="334"/>
        <item x="217"/>
        <item x="284"/>
        <item x="214"/>
        <item x="278"/>
        <item x="288"/>
        <item x="68"/>
        <item x="335"/>
        <item x="179"/>
        <item x="143"/>
        <item x="168"/>
        <item x="150"/>
        <item x="146"/>
        <item x="141"/>
        <item x="54"/>
        <item x="189"/>
        <item x="139"/>
        <item x="154"/>
        <item x="91"/>
        <item x="116"/>
        <item x="110"/>
        <item x="331"/>
        <item x="107"/>
        <item x="4"/>
        <item x="209"/>
        <item x="309"/>
        <item x="36"/>
        <item x="205"/>
        <item x="258"/>
        <item x="320"/>
        <item x="316"/>
        <item x="229"/>
        <item x="234"/>
        <item x="184"/>
        <item x="254"/>
        <item x="17"/>
        <item x="268"/>
        <item x="195"/>
        <item x="290"/>
        <item x="155"/>
        <item x="85"/>
        <item x="50"/>
        <item x="37"/>
        <item x="0"/>
        <item x="202"/>
        <item x="59"/>
        <item x="167"/>
        <item x="191"/>
        <item x="87"/>
        <item x="343"/>
        <item x="67"/>
        <item x="297"/>
        <item x="247"/>
        <item x="264"/>
        <item x="86"/>
        <item x="339"/>
        <item x="256"/>
        <item x="11"/>
        <item x="122"/>
        <item x="2"/>
        <item x="271"/>
        <item x="129"/>
        <item x="9"/>
        <item x="174"/>
        <item x="250"/>
        <item x="112"/>
        <item x="208"/>
        <item x="92"/>
        <item x="252"/>
        <item x="251"/>
        <item x="257"/>
        <item x="237"/>
        <item x="304"/>
        <item x="216"/>
        <item x="97"/>
        <item x="109"/>
        <item x="269"/>
        <item x="200"/>
        <item x="42"/>
        <item x="193"/>
        <item x="182"/>
        <item x="321"/>
        <item x="219"/>
        <item x="19"/>
        <item x="223"/>
        <item x="246"/>
        <item x="149"/>
        <item x="336"/>
        <item x="342"/>
        <item x="286"/>
        <item x="222"/>
        <item x="199"/>
        <item x="292"/>
        <item x="287"/>
        <item x="106"/>
        <item x="30"/>
        <item x="102"/>
        <item x="270"/>
        <item x="142"/>
        <item x="118"/>
        <item x="134"/>
        <item x="96"/>
        <item x="327"/>
        <item x="295"/>
        <item x="74"/>
        <item x="58"/>
        <item x="293"/>
        <item x="188"/>
        <item x="90"/>
        <item x="78"/>
        <item x="40"/>
        <item x="124"/>
        <item x="12"/>
        <item x="29"/>
        <item x="282"/>
        <item x="283"/>
        <item x="152"/>
        <item x="329"/>
        <item x="332"/>
        <item x="84"/>
        <item x="105"/>
        <item x="311"/>
        <item x="111"/>
        <item x="213"/>
        <item x="22"/>
        <item x="128"/>
        <item x="108"/>
        <item x="159"/>
        <item x="238"/>
        <item x="145"/>
        <item x="220"/>
        <item x="244"/>
        <item x="310"/>
        <item x="348"/>
        <item t="default"/>
      </items>
    </pivotField>
    <pivotField showAll="0">
      <items count="8">
        <item x="2"/>
        <item x="5"/>
        <item x="0"/>
        <item x="3"/>
        <item x="1"/>
        <item x="4"/>
        <item x="6"/>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me von Umsatz Plan" fld="5" baseField="0" baseItem="0"/>
    <dataField name="Summe von Umsatz IST" fld="4" baseField="0" baseItem="0"/>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4B079-DE8E-AB46-97F6-55C20BC53953}" name="PivotTable6" cacheId="2"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location ref="E3:F15"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0"/>
        <item x="1"/>
        <item x="2"/>
        <item x="3"/>
        <item x="4"/>
        <item x="5"/>
        <item x="6"/>
        <item t="default"/>
      </items>
    </pivotField>
    <pivotField axis="axisRow" showAll="0">
      <items count="12">
        <item x="8"/>
        <item x="0"/>
        <item x="3"/>
        <item x="2"/>
        <item x="6"/>
        <item x="1"/>
        <item x="9"/>
        <item x="4"/>
        <item x="7"/>
        <item x="5"/>
        <item x="10"/>
        <item t="default"/>
      </items>
    </pivotField>
    <pivotField dataField="1" showAll="0">
      <items count="211">
        <item x="66"/>
        <item x="127"/>
        <item x="54"/>
        <item x="145"/>
        <item x="100"/>
        <item x="2"/>
        <item x="181"/>
        <item x="174"/>
        <item x="178"/>
        <item x="138"/>
        <item x="162"/>
        <item x="69"/>
        <item x="8"/>
        <item x="200"/>
        <item x="179"/>
        <item x="63"/>
        <item x="151"/>
        <item x="11"/>
        <item x="98"/>
        <item x="28"/>
        <item x="35"/>
        <item x="29"/>
        <item x="106"/>
        <item x="112"/>
        <item x="137"/>
        <item x="125"/>
        <item x="126"/>
        <item x="75"/>
        <item x="165"/>
        <item x="87"/>
        <item x="58"/>
        <item x="60"/>
        <item x="109"/>
        <item x="204"/>
        <item x="140"/>
        <item x="134"/>
        <item x="30"/>
        <item x="203"/>
        <item x="189"/>
        <item x="93"/>
        <item x="111"/>
        <item x="202"/>
        <item x="3"/>
        <item x="167"/>
        <item x="0"/>
        <item x="78"/>
        <item x="26"/>
        <item x="71"/>
        <item x="164"/>
        <item x="107"/>
        <item x="46"/>
        <item x="97"/>
        <item x="52"/>
        <item x="194"/>
        <item x="10"/>
        <item x="34"/>
        <item x="149"/>
        <item x="120"/>
        <item x="68"/>
        <item x="196"/>
        <item x="184"/>
        <item x="199"/>
        <item x="44"/>
        <item x="136"/>
        <item x="55"/>
        <item x="128"/>
        <item x="131"/>
        <item x="6"/>
        <item x="49"/>
        <item x="92"/>
        <item x="5"/>
        <item x="159"/>
        <item x="23"/>
        <item x="135"/>
        <item x="195"/>
        <item x="153"/>
        <item x="18"/>
        <item x="171"/>
        <item x="33"/>
        <item x="123"/>
        <item x="16"/>
        <item x="89"/>
        <item x="84"/>
        <item x="197"/>
        <item x="77"/>
        <item x="43"/>
        <item x="50"/>
        <item x="177"/>
        <item x="170"/>
        <item x="62"/>
        <item x="79"/>
        <item x="17"/>
        <item x="27"/>
        <item x="102"/>
        <item x="185"/>
        <item x="40"/>
        <item x="85"/>
        <item x="144"/>
        <item x="157"/>
        <item x="88"/>
        <item x="206"/>
        <item x="81"/>
        <item x="176"/>
        <item x="51"/>
        <item x="24"/>
        <item x="57"/>
        <item x="76"/>
        <item x="166"/>
        <item x="1"/>
        <item x="67"/>
        <item x="118"/>
        <item x="70"/>
        <item x="155"/>
        <item x="132"/>
        <item x="48"/>
        <item x="146"/>
        <item x="154"/>
        <item x="99"/>
        <item x="72"/>
        <item x="22"/>
        <item x="119"/>
        <item x="180"/>
        <item x="129"/>
        <item x="86"/>
        <item x="191"/>
        <item x="142"/>
        <item x="9"/>
        <item x="116"/>
        <item x="20"/>
        <item x="147"/>
        <item x="105"/>
        <item x="19"/>
        <item x="160"/>
        <item x="21"/>
        <item x="74"/>
        <item x="163"/>
        <item x="183"/>
        <item x="117"/>
        <item x="13"/>
        <item x="7"/>
        <item x="104"/>
        <item x="188"/>
        <item x="101"/>
        <item x="37"/>
        <item x="59"/>
        <item x="14"/>
        <item x="91"/>
        <item x="141"/>
        <item x="207"/>
        <item x="4"/>
        <item x="169"/>
        <item x="47"/>
        <item x="172"/>
        <item x="39"/>
        <item x="161"/>
        <item x="124"/>
        <item x="156"/>
        <item x="133"/>
        <item x="25"/>
        <item x="80"/>
        <item x="186"/>
        <item x="56"/>
        <item x="110"/>
        <item x="187"/>
        <item x="73"/>
        <item x="12"/>
        <item x="15"/>
        <item x="65"/>
        <item x="83"/>
        <item x="143"/>
        <item x="208"/>
        <item x="114"/>
        <item x="53"/>
        <item x="38"/>
        <item x="148"/>
        <item x="150"/>
        <item x="90"/>
        <item x="115"/>
        <item x="192"/>
        <item x="36"/>
        <item x="82"/>
        <item x="130"/>
        <item x="42"/>
        <item x="64"/>
        <item x="193"/>
        <item x="122"/>
        <item x="45"/>
        <item x="61"/>
        <item x="205"/>
        <item x="182"/>
        <item x="31"/>
        <item x="198"/>
        <item x="168"/>
        <item x="121"/>
        <item x="175"/>
        <item x="32"/>
        <item x="173"/>
        <item x="190"/>
        <item x="96"/>
        <item x="113"/>
        <item x="41"/>
        <item x="95"/>
        <item x="108"/>
        <item x="103"/>
        <item x="94"/>
        <item x="201"/>
        <item x="152"/>
        <item x="139"/>
        <item x="158"/>
        <item x="209"/>
        <item t="default"/>
      </items>
    </pivotField>
    <pivotField showAll="0">
      <items count="350">
        <item x="260"/>
        <item x="186"/>
        <item x="226"/>
        <item x="194"/>
        <item x="27"/>
        <item x="136"/>
        <item x="100"/>
        <item x="294"/>
        <item x="18"/>
        <item x="291"/>
        <item x="120"/>
        <item x="227"/>
        <item x="341"/>
        <item x="224"/>
        <item x="151"/>
        <item x="218"/>
        <item x="273"/>
        <item x="3"/>
        <item x="25"/>
        <item x="337"/>
        <item x="160"/>
        <item x="318"/>
        <item x="235"/>
        <item x="137"/>
        <item x="76"/>
        <item x="275"/>
        <item x="315"/>
        <item x="303"/>
        <item x="164"/>
        <item x="206"/>
        <item x="166"/>
        <item x="127"/>
        <item x="26"/>
        <item x="280"/>
        <item x="314"/>
        <item x="171"/>
        <item x="157"/>
        <item x="138"/>
        <item x="228"/>
        <item x="319"/>
        <item x="249"/>
        <item x="95"/>
        <item x="46"/>
        <item x="262"/>
        <item x="169"/>
        <item x="240"/>
        <item x="21"/>
        <item x="7"/>
        <item x="89"/>
        <item x="266"/>
        <item x="261"/>
        <item x="114"/>
        <item x="172"/>
        <item x="242"/>
        <item x="345"/>
        <item x="99"/>
        <item x="241"/>
        <item x="135"/>
        <item x="289"/>
        <item x="170"/>
        <item x="71"/>
        <item x="344"/>
        <item x="88"/>
        <item x="204"/>
        <item x="34"/>
        <item x="173"/>
        <item x="62"/>
        <item x="325"/>
        <item x="140"/>
        <item x="248"/>
        <item x="277"/>
        <item x="276"/>
        <item x="198"/>
        <item x="192"/>
        <item x="6"/>
        <item x="203"/>
        <item x="285"/>
        <item x="72"/>
        <item x="31"/>
        <item x="51"/>
        <item x="233"/>
        <item x="55"/>
        <item x="73"/>
        <item x="83"/>
        <item x="185"/>
        <item x="230"/>
        <item x="307"/>
        <item x="231"/>
        <item x="52"/>
        <item x="61"/>
        <item x="221"/>
        <item x="144"/>
        <item x="125"/>
        <item x="64"/>
        <item x="65"/>
        <item x="175"/>
        <item x="225"/>
        <item x="210"/>
        <item x="16"/>
        <item x="267"/>
        <item x="181"/>
        <item x="98"/>
        <item x="330"/>
        <item x="32"/>
        <item x="212"/>
        <item x="132"/>
        <item x="333"/>
        <item x="115"/>
        <item x="75"/>
        <item x="180"/>
        <item x="81"/>
        <item x="301"/>
        <item x="346"/>
        <item x="45"/>
        <item x="57"/>
        <item x="201"/>
        <item x="38"/>
        <item x="23"/>
        <item x="279"/>
        <item x="322"/>
        <item x="77"/>
        <item x="165"/>
        <item x="190"/>
        <item x="347"/>
        <item x="70"/>
        <item x="272"/>
        <item x="255"/>
        <item x="156"/>
        <item x="243"/>
        <item x="299"/>
        <item x="211"/>
        <item x="163"/>
        <item x="158"/>
        <item x="196"/>
        <item x="101"/>
        <item x="323"/>
        <item x="35"/>
        <item x="313"/>
        <item x="305"/>
        <item x="131"/>
        <item x="302"/>
        <item x="259"/>
        <item x="47"/>
        <item x="20"/>
        <item x="326"/>
        <item x="162"/>
        <item x="148"/>
        <item x="117"/>
        <item x="317"/>
        <item x="10"/>
        <item x="274"/>
        <item x="93"/>
        <item x="56"/>
        <item x="53"/>
        <item x="5"/>
        <item x="49"/>
        <item x="1"/>
        <item x="103"/>
        <item x="300"/>
        <item x="197"/>
        <item x="253"/>
        <item x="207"/>
        <item x="177"/>
        <item x="232"/>
        <item x="44"/>
        <item x="13"/>
        <item x="133"/>
        <item x="328"/>
        <item x="183"/>
        <item x="14"/>
        <item x="104"/>
        <item x="113"/>
        <item x="41"/>
        <item x="121"/>
        <item x="161"/>
        <item x="69"/>
        <item x="187"/>
        <item x="63"/>
        <item x="39"/>
        <item x="239"/>
        <item x="94"/>
        <item x="15"/>
        <item x="324"/>
        <item x="147"/>
        <item x="82"/>
        <item x="80"/>
        <item x="66"/>
        <item x="33"/>
        <item x="306"/>
        <item x="281"/>
        <item x="28"/>
        <item x="263"/>
        <item x="126"/>
        <item x="176"/>
        <item x="24"/>
        <item x="312"/>
        <item x="153"/>
        <item x="79"/>
        <item x="298"/>
        <item x="265"/>
        <item x="308"/>
        <item x="296"/>
        <item x="245"/>
        <item x="130"/>
        <item x="48"/>
        <item x="340"/>
        <item x="119"/>
        <item x="123"/>
        <item x="43"/>
        <item x="60"/>
        <item x="236"/>
        <item x="215"/>
        <item x="338"/>
        <item x="8"/>
        <item x="178"/>
        <item x="334"/>
        <item x="217"/>
        <item x="284"/>
        <item x="214"/>
        <item x="278"/>
        <item x="288"/>
        <item x="68"/>
        <item x="335"/>
        <item x="179"/>
        <item x="143"/>
        <item x="168"/>
        <item x="150"/>
        <item x="146"/>
        <item x="141"/>
        <item x="54"/>
        <item x="189"/>
        <item x="139"/>
        <item x="154"/>
        <item x="91"/>
        <item x="116"/>
        <item x="110"/>
        <item x="331"/>
        <item x="107"/>
        <item x="4"/>
        <item x="209"/>
        <item x="309"/>
        <item x="36"/>
        <item x="205"/>
        <item x="258"/>
        <item x="320"/>
        <item x="316"/>
        <item x="229"/>
        <item x="234"/>
        <item x="184"/>
        <item x="254"/>
        <item x="17"/>
        <item x="268"/>
        <item x="195"/>
        <item x="290"/>
        <item x="155"/>
        <item x="85"/>
        <item x="50"/>
        <item x="37"/>
        <item x="0"/>
        <item x="202"/>
        <item x="59"/>
        <item x="167"/>
        <item x="191"/>
        <item x="87"/>
        <item x="343"/>
        <item x="67"/>
        <item x="297"/>
        <item x="247"/>
        <item x="264"/>
        <item x="86"/>
        <item x="339"/>
        <item x="256"/>
        <item x="11"/>
        <item x="122"/>
        <item x="2"/>
        <item x="271"/>
        <item x="129"/>
        <item x="9"/>
        <item x="174"/>
        <item x="250"/>
        <item x="112"/>
        <item x="208"/>
        <item x="92"/>
        <item x="252"/>
        <item x="251"/>
        <item x="257"/>
        <item x="237"/>
        <item x="304"/>
        <item x="216"/>
        <item x="97"/>
        <item x="109"/>
        <item x="269"/>
        <item x="200"/>
        <item x="42"/>
        <item x="193"/>
        <item x="182"/>
        <item x="321"/>
        <item x="219"/>
        <item x="19"/>
        <item x="223"/>
        <item x="246"/>
        <item x="149"/>
        <item x="336"/>
        <item x="342"/>
        <item x="286"/>
        <item x="222"/>
        <item x="199"/>
        <item x="292"/>
        <item x="287"/>
        <item x="106"/>
        <item x="30"/>
        <item x="102"/>
        <item x="270"/>
        <item x="142"/>
        <item x="118"/>
        <item x="134"/>
        <item x="96"/>
        <item x="327"/>
        <item x="295"/>
        <item x="74"/>
        <item x="58"/>
        <item x="293"/>
        <item x="188"/>
        <item x="90"/>
        <item x="78"/>
        <item x="40"/>
        <item x="124"/>
        <item x="12"/>
        <item x="29"/>
        <item x="282"/>
        <item x="283"/>
        <item x="152"/>
        <item x="329"/>
        <item x="332"/>
        <item x="84"/>
        <item x="105"/>
        <item x="311"/>
        <item x="111"/>
        <item x="213"/>
        <item x="22"/>
        <item x="128"/>
        <item x="108"/>
        <item x="159"/>
        <item x="238"/>
        <item x="145"/>
        <item x="220"/>
        <item x="244"/>
        <item x="310"/>
        <item x="348"/>
        <item t="default"/>
      </items>
    </pivotField>
    <pivotField showAll="0">
      <items count="8">
        <item x="2"/>
        <item x="5"/>
        <item x="0"/>
        <item x="3"/>
        <item x="1"/>
        <item x="4"/>
        <item x="6"/>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2">
    <i>
      <x/>
    </i>
    <i>
      <x v="1"/>
    </i>
    <i>
      <x v="2"/>
    </i>
    <i>
      <x v="3"/>
    </i>
    <i>
      <x v="4"/>
    </i>
    <i>
      <x v="5"/>
    </i>
    <i>
      <x v="6"/>
    </i>
    <i>
      <x v="7"/>
    </i>
    <i>
      <x v="8"/>
    </i>
    <i>
      <x v="9"/>
    </i>
    <i>
      <x v="10"/>
    </i>
    <i t="grand">
      <x/>
    </i>
  </rowItems>
  <colItems count="1">
    <i/>
  </colItems>
  <dataFields count="1">
    <dataField name="Summe von Umsatz I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81EA6E-B81B-284D-BF51-EE7182BBF1D9}" name="PivotTable3" cacheId="2"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chartFormat="6">
  <location ref="B22:C25"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0"/>
        <item x="1"/>
        <item x="2"/>
        <item x="3"/>
        <item x="4"/>
        <item x="5"/>
        <item x="6"/>
        <item t="default"/>
      </items>
    </pivotField>
    <pivotField showAll="0">
      <items count="12">
        <item x="8"/>
        <item x="0"/>
        <item x="3"/>
        <item x="2"/>
        <item x="6"/>
        <item x="1"/>
        <item x="9"/>
        <item x="4"/>
        <item x="7"/>
        <item x="5"/>
        <item x="10"/>
        <item t="default"/>
      </items>
    </pivotField>
    <pivotField showAll="0">
      <items count="211">
        <item x="66"/>
        <item x="127"/>
        <item x="54"/>
        <item x="145"/>
        <item x="100"/>
        <item x="2"/>
        <item x="181"/>
        <item x="174"/>
        <item x="178"/>
        <item x="138"/>
        <item x="162"/>
        <item x="69"/>
        <item x="8"/>
        <item x="200"/>
        <item x="179"/>
        <item x="63"/>
        <item x="151"/>
        <item x="11"/>
        <item x="98"/>
        <item x="28"/>
        <item x="35"/>
        <item x="29"/>
        <item x="106"/>
        <item x="112"/>
        <item x="137"/>
        <item x="125"/>
        <item x="126"/>
        <item x="75"/>
        <item x="165"/>
        <item x="87"/>
        <item x="58"/>
        <item x="60"/>
        <item x="109"/>
        <item x="204"/>
        <item x="140"/>
        <item x="134"/>
        <item x="30"/>
        <item x="203"/>
        <item x="189"/>
        <item x="93"/>
        <item x="111"/>
        <item x="202"/>
        <item x="3"/>
        <item x="167"/>
        <item x="0"/>
        <item x="78"/>
        <item x="26"/>
        <item x="71"/>
        <item x="164"/>
        <item x="107"/>
        <item x="46"/>
        <item x="97"/>
        <item x="52"/>
        <item x="194"/>
        <item x="10"/>
        <item x="34"/>
        <item x="149"/>
        <item x="120"/>
        <item x="68"/>
        <item x="196"/>
        <item x="184"/>
        <item x="199"/>
        <item x="44"/>
        <item x="136"/>
        <item x="55"/>
        <item x="128"/>
        <item x="131"/>
        <item x="6"/>
        <item x="49"/>
        <item x="92"/>
        <item x="5"/>
        <item x="159"/>
        <item x="23"/>
        <item x="135"/>
        <item x="195"/>
        <item x="153"/>
        <item x="18"/>
        <item x="171"/>
        <item x="33"/>
        <item x="123"/>
        <item x="16"/>
        <item x="89"/>
        <item x="84"/>
        <item x="197"/>
        <item x="77"/>
        <item x="43"/>
        <item x="50"/>
        <item x="177"/>
        <item x="170"/>
        <item x="62"/>
        <item x="79"/>
        <item x="17"/>
        <item x="27"/>
        <item x="102"/>
        <item x="185"/>
        <item x="40"/>
        <item x="85"/>
        <item x="144"/>
        <item x="157"/>
        <item x="88"/>
        <item x="206"/>
        <item x="81"/>
        <item x="176"/>
        <item x="51"/>
        <item x="24"/>
        <item x="57"/>
        <item x="76"/>
        <item x="166"/>
        <item x="1"/>
        <item x="67"/>
        <item x="118"/>
        <item x="70"/>
        <item x="155"/>
        <item x="132"/>
        <item x="48"/>
        <item x="146"/>
        <item x="154"/>
        <item x="99"/>
        <item x="72"/>
        <item x="22"/>
        <item x="119"/>
        <item x="180"/>
        <item x="129"/>
        <item x="86"/>
        <item x="191"/>
        <item x="142"/>
        <item x="9"/>
        <item x="116"/>
        <item x="20"/>
        <item x="147"/>
        <item x="105"/>
        <item x="19"/>
        <item x="160"/>
        <item x="21"/>
        <item x="74"/>
        <item x="163"/>
        <item x="183"/>
        <item x="117"/>
        <item x="13"/>
        <item x="7"/>
        <item x="104"/>
        <item x="188"/>
        <item x="101"/>
        <item x="37"/>
        <item x="59"/>
        <item x="14"/>
        <item x="91"/>
        <item x="141"/>
        <item x="207"/>
        <item x="4"/>
        <item x="169"/>
        <item x="47"/>
        <item x="172"/>
        <item x="39"/>
        <item x="161"/>
        <item x="124"/>
        <item x="156"/>
        <item x="133"/>
        <item x="25"/>
        <item x="80"/>
        <item x="186"/>
        <item x="56"/>
        <item x="110"/>
        <item x="187"/>
        <item x="73"/>
        <item x="12"/>
        <item x="15"/>
        <item x="65"/>
        <item x="83"/>
        <item x="143"/>
        <item x="208"/>
        <item x="114"/>
        <item x="53"/>
        <item x="38"/>
        <item x="148"/>
        <item x="150"/>
        <item x="90"/>
        <item x="115"/>
        <item x="192"/>
        <item x="36"/>
        <item x="82"/>
        <item x="130"/>
        <item x="42"/>
        <item x="64"/>
        <item x="193"/>
        <item x="122"/>
        <item x="45"/>
        <item x="61"/>
        <item x="205"/>
        <item x="182"/>
        <item x="31"/>
        <item x="198"/>
        <item x="168"/>
        <item x="121"/>
        <item x="175"/>
        <item x="32"/>
        <item x="173"/>
        <item x="190"/>
        <item x="96"/>
        <item x="113"/>
        <item x="41"/>
        <item x="95"/>
        <item x="108"/>
        <item x="103"/>
        <item x="94"/>
        <item x="201"/>
        <item x="152"/>
        <item x="139"/>
        <item x="158"/>
        <item x="209"/>
        <item t="default"/>
      </items>
    </pivotField>
    <pivotField showAll="0">
      <items count="350">
        <item x="260"/>
        <item x="186"/>
        <item x="226"/>
        <item x="194"/>
        <item x="27"/>
        <item x="136"/>
        <item x="100"/>
        <item x="294"/>
        <item x="18"/>
        <item x="291"/>
        <item x="120"/>
        <item x="227"/>
        <item x="341"/>
        <item x="224"/>
        <item x="151"/>
        <item x="218"/>
        <item x="273"/>
        <item x="3"/>
        <item x="25"/>
        <item x="337"/>
        <item x="160"/>
        <item x="318"/>
        <item x="235"/>
        <item x="137"/>
        <item x="76"/>
        <item x="275"/>
        <item x="315"/>
        <item x="303"/>
        <item x="164"/>
        <item x="206"/>
        <item x="166"/>
        <item x="127"/>
        <item x="26"/>
        <item x="280"/>
        <item x="314"/>
        <item x="171"/>
        <item x="157"/>
        <item x="138"/>
        <item x="228"/>
        <item x="319"/>
        <item x="249"/>
        <item x="95"/>
        <item x="46"/>
        <item x="262"/>
        <item x="169"/>
        <item x="240"/>
        <item x="21"/>
        <item x="7"/>
        <item x="89"/>
        <item x="266"/>
        <item x="261"/>
        <item x="114"/>
        <item x="172"/>
        <item x="242"/>
        <item x="345"/>
        <item x="99"/>
        <item x="241"/>
        <item x="135"/>
        <item x="289"/>
        <item x="170"/>
        <item x="71"/>
        <item x="344"/>
        <item x="88"/>
        <item x="204"/>
        <item x="34"/>
        <item x="173"/>
        <item x="62"/>
        <item x="325"/>
        <item x="140"/>
        <item x="248"/>
        <item x="277"/>
        <item x="276"/>
        <item x="198"/>
        <item x="192"/>
        <item x="6"/>
        <item x="203"/>
        <item x="285"/>
        <item x="72"/>
        <item x="31"/>
        <item x="51"/>
        <item x="233"/>
        <item x="55"/>
        <item x="73"/>
        <item x="83"/>
        <item x="185"/>
        <item x="230"/>
        <item x="307"/>
        <item x="231"/>
        <item x="52"/>
        <item x="61"/>
        <item x="221"/>
        <item x="144"/>
        <item x="125"/>
        <item x="64"/>
        <item x="65"/>
        <item x="175"/>
        <item x="225"/>
        <item x="210"/>
        <item x="16"/>
        <item x="267"/>
        <item x="181"/>
        <item x="98"/>
        <item x="330"/>
        <item x="32"/>
        <item x="212"/>
        <item x="132"/>
        <item x="333"/>
        <item x="115"/>
        <item x="75"/>
        <item x="180"/>
        <item x="81"/>
        <item x="301"/>
        <item x="346"/>
        <item x="45"/>
        <item x="57"/>
        <item x="201"/>
        <item x="38"/>
        <item x="23"/>
        <item x="279"/>
        <item x="322"/>
        <item x="77"/>
        <item x="165"/>
        <item x="190"/>
        <item x="347"/>
        <item x="70"/>
        <item x="272"/>
        <item x="255"/>
        <item x="156"/>
        <item x="243"/>
        <item x="299"/>
        <item x="211"/>
        <item x="163"/>
        <item x="158"/>
        <item x="196"/>
        <item x="101"/>
        <item x="323"/>
        <item x="35"/>
        <item x="313"/>
        <item x="305"/>
        <item x="131"/>
        <item x="302"/>
        <item x="259"/>
        <item x="47"/>
        <item x="20"/>
        <item x="326"/>
        <item x="162"/>
        <item x="148"/>
        <item x="117"/>
        <item x="317"/>
        <item x="10"/>
        <item x="274"/>
        <item x="93"/>
        <item x="56"/>
        <item x="53"/>
        <item x="5"/>
        <item x="49"/>
        <item x="1"/>
        <item x="103"/>
        <item x="300"/>
        <item x="197"/>
        <item x="253"/>
        <item x="207"/>
        <item x="177"/>
        <item x="232"/>
        <item x="44"/>
        <item x="13"/>
        <item x="133"/>
        <item x="328"/>
        <item x="183"/>
        <item x="14"/>
        <item x="104"/>
        <item x="113"/>
        <item x="41"/>
        <item x="121"/>
        <item x="161"/>
        <item x="69"/>
        <item x="187"/>
        <item x="63"/>
        <item x="39"/>
        <item x="239"/>
        <item x="94"/>
        <item x="15"/>
        <item x="324"/>
        <item x="147"/>
        <item x="82"/>
        <item x="80"/>
        <item x="66"/>
        <item x="33"/>
        <item x="306"/>
        <item x="281"/>
        <item x="28"/>
        <item x="263"/>
        <item x="126"/>
        <item x="176"/>
        <item x="24"/>
        <item x="312"/>
        <item x="153"/>
        <item x="79"/>
        <item x="298"/>
        <item x="265"/>
        <item x="308"/>
        <item x="296"/>
        <item x="245"/>
        <item x="130"/>
        <item x="48"/>
        <item x="340"/>
        <item x="119"/>
        <item x="123"/>
        <item x="43"/>
        <item x="60"/>
        <item x="236"/>
        <item x="215"/>
        <item x="338"/>
        <item x="8"/>
        <item x="178"/>
        <item x="334"/>
        <item x="217"/>
        <item x="284"/>
        <item x="214"/>
        <item x="278"/>
        <item x="288"/>
        <item x="68"/>
        <item x="335"/>
        <item x="179"/>
        <item x="143"/>
        <item x="168"/>
        <item x="150"/>
        <item x="146"/>
        <item x="141"/>
        <item x="54"/>
        <item x="189"/>
        <item x="139"/>
        <item x="154"/>
        <item x="91"/>
        <item x="116"/>
        <item x="110"/>
        <item x="331"/>
        <item x="107"/>
        <item x="4"/>
        <item x="209"/>
        <item x="309"/>
        <item x="36"/>
        <item x="205"/>
        <item x="258"/>
        <item x="320"/>
        <item x="316"/>
        <item x="229"/>
        <item x="234"/>
        <item x="184"/>
        <item x="254"/>
        <item x="17"/>
        <item x="268"/>
        <item x="195"/>
        <item x="290"/>
        <item x="155"/>
        <item x="85"/>
        <item x="50"/>
        <item x="37"/>
        <item x="0"/>
        <item x="202"/>
        <item x="59"/>
        <item x="167"/>
        <item x="191"/>
        <item x="87"/>
        <item x="343"/>
        <item x="67"/>
        <item x="297"/>
        <item x="247"/>
        <item x="264"/>
        <item x="86"/>
        <item x="339"/>
        <item x="256"/>
        <item x="11"/>
        <item x="122"/>
        <item x="2"/>
        <item x="271"/>
        <item x="129"/>
        <item x="9"/>
        <item x="174"/>
        <item x="250"/>
        <item x="112"/>
        <item x="208"/>
        <item x="92"/>
        <item x="252"/>
        <item x="251"/>
        <item x="257"/>
        <item x="237"/>
        <item x="304"/>
        <item x="216"/>
        <item x="97"/>
        <item x="109"/>
        <item x="269"/>
        <item x="200"/>
        <item x="42"/>
        <item x="193"/>
        <item x="182"/>
        <item x="321"/>
        <item x="219"/>
        <item x="19"/>
        <item x="223"/>
        <item x="246"/>
        <item x="149"/>
        <item x="336"/>
        <item x="342"/>
        <item x="286"/>
        <item x="222"/>
        <item x="199"/>
        <item x="292"/>
        <item x="287"/>
        <item x="106"/>
        <item x="30"/>
        <item x="102"/>
        <item x="270"/>
        <item x="142"/>
        <item x="118"/>
        <item x="134"/>
        <item x="96"/>
        <item x="327"/>
        <item x="295"/>
        <item x="74"/>
        <item x="58"/>
        <item x="293"/>
        <item x="188"/>
        <item x="90"/>
        <item x="78"/>
        <item x="40"/>
        <item x="124"/>
        <item x="12"/>
        <item x="29"/>
        <item x="282"/>
        <item x="283"/>
        <item x="152"/>
        <item x="329"/>
        <item x="332"/>
        <item x="84"/>
        <item x="105"/>
        <item x="311"/>
        <item x="111"/>
        <item x="213"/>
        <item x="22"/>
        <item x="128"/>
        <item x="108"/>
        <item x="159"/>
        <item x="238"/>
        <item x="145"/>
        <item x="220"/>
        <item x="244"/>
        <item x="310"/>
        <item x="348"/>
        <item t="default"/>
      </items>
    </pivotField>
    <pivotField showAll="0">
      <items count="8">
        <item x="2"/>
        <item x="5"/>
        <item x="0"/>
        <item x="3"/>
        <item x="1"/>
        <item x="4"/>
        <item x="6"/>
        <item t="default"/>
      </items>
    </pivotField>
    <pivotField axis="axisRow" showAll="0">
      <items count="4">
        <item x="0"/>
        <item x="1"/>
        <item h="1" x="2"/>
        <item t="default"/>
      </items>
    </pivotField>
    <pivotField showAll="0"/>
    <pivotField showAll="0"/>
    <pivotField showAll="0"/>
    <pivotField showAll="0"/>
    <pivotField showAll="0"/>
    <pivotField dataField="1"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3">
    <i>
      <x/>
    </i>
    <i>
      <x v="1"/>
    </i>
    <i t="grand">
      <x/>
    </i>
  </rowItems>
  <colItems count="1">
    <i/>
  </colItems>
  <dataFields count="1">
    <dataField name="Anzahl von Monate" fld="13" subtotal="count" baseField="0" baseItem="0"/>
  </dataFields>
  <chartFormats count="2">
    <chartFormat chart="5"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480C8-CDC6-F847-B0FB-FDF3F37622A2}" name="PivotTable4" cacheId="2"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chartFormat="6">
  <location ref="E22:F25"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0"/>
        <item x="1"/>
        <item x="2"/>
        <item x="3"/>
        <item x="4"/>
        <item x="5"/>
        <item x="6"/>
        <item t="default"/>
      </items>
    </pivotField>
    <pivotField showAll="0">
      <items count="12">
        <item x="8"/>
        <item x="0"/>
        <item x="3"/>
        <item x="2"/>
        <item x="6"/>
        <item x="1"/>
        <item x="9"/>
        <item x="4"/>
        <item x="7"/>
        <item x="5"/>
        <item x="10"/>
        <item t="default"/>
      </items>
    </pivotField>
    <pivotField showAll="0">
      <items count="211">
        <item x="66"/>
        <item x="127"/>
        <item x="54"/>
        <item x="145"/>
        <item x="100"/>
        <item x="2"/>
        <item x="181"/>
        <item x="174"/>
        <item x="178"/>
        <item x="138"/>
        <item x="162"/>
        <item x="69"/>
        <item x="8"/>
        <item x="200"/>
        <item x="179"/>
        <item x="63"/>
        <item x="151"/>
        <item x="11"/>
        <item x="98"/>
        <item x="28"/>
        <item x="35"/>
        <item x="29"/>
        <item x="106"/>
        <item x="112"/>
        <item x="137"/>
        <item x="125"/>
        <item x="126"/>
        <item x="75"/>
        <item x="165"/>
        <item x="87"/>
        <item x="58"/>
        <item x="60"/>
        <item x="109"/>
        <item x="204"/>
        <item x="140"/>
        <item x="134"/>
        <item x="30"/>
        <item x="203"/>
        <item x="189"/>
        <item x="93"/>
        <item x="111"/>
        <item x="202"/>
        <item x="3"/>
        <item x="167"/>
        <item x="0"/>
        <item x="78"/>
        <item x="26"/>
        <item x="71"/>
        <item x="164"/>
        <item x="107"/>
        <item x="46"/>
        <item x="97"/>
        <item x="52"/>
        <item x="194"/>
        <item x="10"/>
        <item x="34"/>
        <item x="149"/>
        <item x="120"/>
        <item x="68"/>
        <item x="196"/>
        <item x="184"/>
        <item x="199"/>
        <item x="44"/>
        <item x="136"/>
        <item x="55"/>
        <item x="128"/>
        <item x="131"/>
        <item x="6"/>
        <item x="49"/>
        <item x="92"/>
        <item x="5"/>
        <item x="159"/>
        <item x="23"/>
        <item x="135"/>
        <item x="195"/>
        <item x="153"/>
        <item x="18"/>
        <item x="171"/>
        <item x="33"/>
        <item x="123"/>
        <item x="16"/>
        <item x="89"/>
        <item x="84"/>
        <item x="197"/>
        <item x="77"/>
        <item x="43"/>
        <item x="50"/>
        <item x="177"/>
        <item x="170"/>
        <item x="62"/>
        <item x="79"/>
        <item x="17"/>
        <item x="27"/>
        <item x="102"/>
        <item x="185"/>
        <item x="40"/>
        <item x="85"/>
        <item x="144"/>
        <item x="157"/>
        <item x="88"/>
        <item x="206"/>
        <item x="81"/>
        <item x="176"/>
        <item x="51"/>
        <item x="24"/>
        <item x="57"/>
        <item x="76"/>
        <item x="166"/>
        <item x="1"/>
        <item x="67"/>
        <item x="118"/>
        <item x="70"/>
        <item x="155"/>
        <item x="132"/>
        <item x="48"/>
        <item x="146"/>
        <item x="154"/>
        <item x="99"/>
        <item x="72"/>
        <item x="22"/>
        <item x="119"/>
        <item x="180"/>
        <item x="129"/>
        <item x="86"/>
        <item x="191"/>
        <item x="142"/>
        <item x="9"/>
        <item x="116"/>
        <item x="20"/>
        <item x="147"/>
        <item x="105"/>
        <item x="19"/>
        <item x="160"/>
        <item x="21"/>
        <item x="74"/>
        <item x="163"/>
        <item x="183"/>
        <item x="117"/>
        <item x="13"/>
        <item x="7"/>
        <item x="104"/>
        <item x="188"/>
        <item x="101"/>
        <item x="37"/>
        <item x="59"/>
        <item x="14"/>
        <item x="91"/>
        <item x="141"/>
        <item x="207"/>
        <item x="4"/>
        <item x="169"/>
        <item x="47"/>
        <item x="172"/>
        <item x="39"/>
        <item x="161"/>
        <item x="124"/>
        <item x="156"/>
        <item x="133"/>
        <item x="25"/>
        <item x="80"/>
        <item x="186"/>
        <item x="56"/>
        <item x="110"/>
        <item x="187"/>
        <item x="73"/>
        <item x="12"/>
        <item x="15"/>
        <item x="65"/>
        <item x="83"/>
        <item x="143"/>
        <item x="208"/>
        <item x="114"/>
        <item x="53"/>
        <item x="38"/>
        <item x="148"/>
        <item x="150"/>
        <item x="90"/>
        <item x="115"/>
        <item x="192"/>
        <item x="36"/>
        <item x="82"/>
        <item x="130"/>
        <item x="42"/>
        <item x="64"/>
        <item x="193"/>
        <item x="122"/>
        <item x="45"/>
        <item x="61"/>
        <item x="205"/>
        <item x="182"/>
        <item x="31"/>
        <item x="198"/>
        <item x="168"/>
        <item x="121"/>
        <item x="175"/>
        <item x="32"/>
        <item x="173"/>
        <item x="190"/>
        <item x="96"/>
        <item x="113"/>
        <item x="41"/>
        <item x="95"/>
        <item x="108"/>
        <item x="103"/>
        <item x="94"/>
        <item x="201"/>
        <item x="152"/>
        <item x="139"/>
        <item x="158"/>
        <item x="209"/>
        <item t="default"/>
      </items>
    </pivotField>
    <pivotField showAll="0">
      <items count="350">
        <item x="260"/>
        <item x="186"/>
        <item x="226"/>
        <item x="194"/>
        <item x="27"/>
        <item x="136"/>
        <item x="100"/>
        <item x="294"/>
        <item x="18"/>
        <item x="291"/>
        <item x="120"/>
        <item x="227"/>
        <item x="341"/>
        <item x="224"/>
        <item x="151"/>
        <item x="218"/>
        <item x="273"/>
        <item x="3"/>
        <item x="25"/>
        <item x="337"/>
        <item x="160"/>
        <item x="318"/>
        <item x="235"/>
        <item x="137"/>
        <item x="76"/>
        <item x="275"/>
        <item x="315"/>
        <item x="303"/>
        <item x="164"/>
        <item x="206"/>
        <item x="166"/>
        <item x="127"/>
        <item x="26"/>
        <item x="280"/>
        <item x="314"/>
        <item x="171"/>
        <item x="157"/>
        <item x="138"/>
        <item x="228"/>
        <item x="319"/>
        <item x="249"/>
        <item x="95"/>
        <item x="46"/>
        <item x="262"/>
        <item x="169"/>
        <item x="240"/>
        <item x="21"/>
        <item x="7"/>
        <item x="89"/>
        <item x="266"/>
        <item x="261"/>
        <item x="114"/>
        <item x="172"/>
        <item x="242"/>
        <item x="345"/>
        <item x="99"/>
        <item x="241"/>
        <item x="135"/>
        <item x="289"/>
        <item x="170"/>
        <item x="71"/>
        <item x="344"/>
        <item x="88"/>
        <item x="204"/>
        <item x="34"/>
        <item x="173"/>
        <item x="62"/>
        <item x="325"/>
        <item x="140"/>
        <item x="248"/>
        <item x="277"/>
        <item x="276"/>
        <item x="198"/>
        <item x="192"/>
        <item x="6"/>
        <item x="203"/>
        <item x="285"/>
        <item x="72"/>
        <item x="31"/>
        <item x="51"/>
        <item x="233"/>
        <item x="55"/>
        <item x="73"/>
        <item x="83"/>
        <item x="185"/>
        <item x="230"/>
        <item x="307"/>
        <item x="231"/>
        <item x="52"/>
        <item x="61"/>
        <item x="221"/>
        <item x="144"/>
        <item x="125"/>
        <item x="64"/>
        <item x="65"/>
        <item x="175"/>
        <item x="225"/>
        <item x="210"/>
        <item x="16"/>
        <item x="267"/>
        <item x="181"/>
        <item x="98"/>
        <item x="330"/>
        <item x="32"/>
        <item x="212"/>
        <item x="132"/>
        <item x="333"/>
        <item x="115"/>
        <item x="75"/>
        <item x="180"/>
        <item x="81"/>
        <item x="301"/>
        <item x="346"/>
        <item x="45"/>
        <item x="57"/>
        <item x="201"/>
        <item x="38"/>
        <item x="23"/>
        <item x="279"/>
        <item x="322"/>
        <item x="77"/>
        <item x="165"/>
        <item x="190"/>
        <item x="347"/>
        <item x="70"/>
        <item x="272"/>
        <item x="255"/>
        <item x="156"/>
        <item x="243"/>
        <item x="299"/>
        <item x="211"/>
        <item x="163"/>
        <item x="158"/>
        <item x="196"/>
        <item x="101"/>
        <item x="323"/>
        <item x="35"/>
        <item x="313"/>
        <item x="305"/>
        <item x="131"/>
        <item x="302"/>
        <item x="259"/>
        <item x="47"/>
        <item x="20"/>
        <item x="326"/>
        <item x="162"/>
        <item x="148"/>
        <item x="117"/>
        <item x="317"/>
        <item x="10"/>
        <item x="274"/>
        <item x="93"/>
        <item x="56"/>
        <item x="53"/>
        <item x="5"/>
        <item x="49"/>
        <item x="1"/>
        <item x="103"/>
        <item x="300"/>
        <item x="197"/>
        <item x="253"/>
        <item x="207"/>
        <item x="177"/>
        <item x="232"/>
        <item x="44"/>
        <item x="13"/>
        <item x="133"/>
        <item x="328"/>
        <item x="183"/>
        <item x="14"/>
        <item x="104"/>
        <item x="113"/>
        <item x="41"/>
        <item x="121"/>
        <item x="161"/>
        <item x="69"/>
        <item x="187"/>
        <item x="63"/>
        <item x="39"/>
        <item x="239"/>
        <item x="94"/>
        <item x="15"/>
        <item x="324"/>
        <item x="147"/>
        <item x="82"/>
        <item x="80"/>
        <item x="66"/>
        <item x="33"/>
        <item x="306"/>
        <item x="281"/>
        <item x="28"/>
        <item x="263"/>
        <item x="126"/>
        <item x="176"/>
        <item x="24"/>
        <item x="312"/>
        <item x="153"/>
        <item x="79"/>
        <item x="298"/>
        <item x="265"/>
        <item x="308"/>
        <item x="296"/>
        <item x="245"/>
        <item x="130"/>
        <item x="48"/>
        <item x="340"/>
        <item x="119"/>
        <item x="123"/>
        <item x="43"/>
        <item x="60"/>
        <item x="236"/>
        <item x="215"/>
        <item x="338"/>
        <item x="8"/>
        <item x="178"/>
        <item x="334"/>
        <item x="217"/>
        <item x="284"/>
        <item x="214"/>
        <item x="278"/>
        <item x="288"/>
        <item x="68"/>
        <item x="335"/>
        <item x="179"/>
        <item x="143"/>
        <item x="168"/>
        <item x="150"/>
        <item x="146"/>
        <item x="141"/>
        <item x="54"/>
        <item x="189"/>
        <item x="139"/>
        <item x="154"/>
        <item x="91"/>
        <item x="116"/>
        <item x="110"/>
        <item x="331"/>
        <item x="107"/>
        <item x="4"/>
        <item x="209"/>
        <item x="309"/>
        <item x="36"/>
        <item x="205"/>
        <item x="258"/>
        <item x="320"/>
        <item x="316"/>
        <item x="229"/>
        <item x="234"/>
        <item x="184"/>
        <item x="254"/>
        <item x="17"/>
        <item x="268"/>
        <item x="195"/>
        <item x="290"/>
        <item x="155"/>
        <item x="85"/>
        <item x="50"/>
        <item x="37"/>
        <item x="0"/>
        <item x="202"/>
        <item x="59"/>
        <item x="167"/>
        <item x="191"/>
        <item x="87"/>
        <item x="343"/>
        <item x="67"/>
        <item x="297"/>
        <item x="247"/>
        <item x="264"/>
        <item x="86"/>
        <item x="339"/>
        <item x="256"/>
        <item x="11"/>
        <item x="122"/>
        <item x="2"/>
        <item x="271"/>
        <item x="129"/>
        <item x="9"/>
        <item x="174"/>
        <item x="250"/>
        <item x="112"/>
        <item x="208"/>
        <item x="92"/>
        <item x="252"/>
        <item x="251"/>
        <item x="257"/>
        <item x="237"/>
        <item x="304"/>
        <item x="216"/>
        <item x="97"/>
        <item x="109"/>
        <item x="269"/>
        <item x="200"/>
        <item x="42"/>
        <item x="193"/>
        <item x="182"/>
        <item x="321"/>
        <item x="219"/>
        <item x="19"/>
        <item x="223"/>
        <item x="246"/>
        <item x="149"/>
        <item x="336"/>
        <item x="342"/>
        <item x="286"/>
        <item x="222"/>
        <item x="199"/>
        <item x="292"/>
        <item x="287"/>
        <item x="106"/>
        <item x="30"/>
        <item x="102"/>
        <item x="270"/>
        <item x="142"/>
        <item x="118"/>
        <item x="134"/>
        <item x="96"/>
        <item x="327"/>
        <item x="295"/>
        <item x="74"/>
        <item x="58"/>
        <item x="293"/>
        <item x="188"/>
        <item x="90"/>
        <item x="78"/>
        <item x="40"/>
        <item x="124"/>
        <item x="12"/>
        <item x="29"/>
        <item x="282"/>
        <item x="283"/>
        <item x="152"/>
        <item x="329"/>
        <item x="332"/>
        <item x="84"/>
        <item x="105"/>
        <item x="311"/>
        <item x="111"/>
        <item x="213"/>
        <item x="22"/>
        <item x="128"/>
        <item x="108"/>
        <item x="159"/>
        <item x="238"/>
        <item x="145"/>
        <item x="220"/>
        <item x="244"/>
        <item x="310"/>
        <item x="348"/>
        <item t="default"/>
      </items>
    </pivotField>
    <pivotField showAll="0">
      <items count="8">
        <item x="2"/>
        <item x="5"/>
        <item x="0"/>
        <item x="3"/>
        <item x="1"/>
        <item x="4"/>
        <item x="6"/>
        <item t="default"/>
      </items>
    </pivotField>
    <pivotField showAll="0">
      <items count="4">
        <item x="0"/>
        <item x="1"/>
        <item x="2"/>
        <item t="default"/>
      </items>
    </pivotField>
    <pivotField axis="axisRow" showAll="0">
      <items count="4">
        <item x="1"/>
        <item x="0"/>
        <item h="1" x="2"/>
        <item t="default"/>
      </items>
    </pivotField>
    <pivotField showAll="0"/>
    <pivotField showAll="0"/>
    <pivotField showAll="0"/>
    <pivotField showAll="0"/>
    <pivotField dataField="1"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3">
    <i>
      <x/>
    </i>
    <i>
      <x v="1"/>
    </i>
    <i t="grand">
      <x/>
    </i>
  </rowItems>
  <colItems count="1">
    <i/>
  </colItems>
  <dataFields count="1">
    <dataField name="Anzahl von Monat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2D9CE1-0D9D-6B48-9B31-86556FF4437D}" name="PivotTable8" cacheId="3" applyNumberFormats="0" applyBorderFormats="0" applyFontFormats="0" applyPatternFormats="0" applyAlignmentFormats="0" applyWidthHeightFormats="1" dataCaption="Werte" updatedVersion="6" minRefreshableVersion="3" useAutoFormatting="1" itemPrintTitles="1" createdVersion="6" indent="0" outline="1" outlineData="1" multipleFieldFilters="0" chartFormat="8">
  <location ref="A6:C11" firstHeaderRow="0" firstDataRow="1" firstDataCol="1" rowPageCount="2" colPageCount="1"/>
  <pivotFields count="15">
    <pivotField showAll="0"/>
    <pivotField axis="axisPage" multipleItemSelectionAllowed="1"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0"/>
        <item x="1"/>
        <item x="2"/>
        <item x="3"/>
        <item x="4"/>
        <item x="5"/>
        <item x="6"/>
        <item t="default"/>
      </items>
    </pivotField>
    <pivotField showAll="0"/>
    <pivotField showAll="0">
      <items count="211">
        <item x="66"/>
        <item x="127"/>
        <item x="54"/>
        <item x="145"/>
        <item x="100"/>
        <item x="2"/>
        <item x="181"/>
        <item x="174"/>
        <item x="178"/>
        <item x="138"/>
        <item x="162"/>
        <item x="69"/>
        <item x="8"/>
        <item x="200"/>
        <item x="179"/>
        <item x="63"/>
        <item x="151"/>
        <item x="11"/>
        <item x="98"/>
        <item x="28"/>
        <item x="35"/>
        <item x="29"/>
        <item x="106"/>
        <item x="112"/>
        <item x="137"/>
        <item x="125"/>
        <item x="126"/>
        <item x="75"/>
        <item x="165"/>
        <item x="87"/>
        <item x="58"/>
        <item x="60"/>
        <item x="109"/>
        <item x="204"/>
        <item x="140"/>
        <item x="134"/>
        <item x="30"/>
        <item x="203"/>
        <item x="189"/>
        <item x="93"/>
        <item x="111"/>
        <item x="202"/>
        <item x="3"/>
        <item x="167"/>
        <item x="0"/>
        <item x="78"/>
        <item x="26"/>
        <item x="71"/>
        <item x="164"/>
        <item x="107"/>
        <item x="46"/>
        <item x="97"/>
        <item x="52"/>
        <item x="194"/>
        <item x="10"/>
        <item x="34"/>
        <item x="149"/>
        <item x="120"/>
        <item x="68"/>
        <item x="196"/>
        <item x="184"/>
        <item x="199"/>
        <item x="44"/>
        <item x="136"/>
        <item x="55"/>
        <item x="128"/>
        <item x="131"/>
        <item x="6"/>
        <item x="49"/>
        <item x="92"/>
        <item x="5"/>
        <item x="159"/>
        <item x="23"/>
        <item x="135"/>
        <item x="195"/>
        <item x="153"/>
        <item x="18"/>
        <item x="171"/>
        <item x="33"/>
        <item x="123"/>
        <item x="16"/>
        <item x="89"/>
        <item x="84"/>
        <item x="197"/>
        <item x="77"/>
        <item x="43"/>
        <item x="50"/>
        <item x="177"/>
        <item x="170"/>
        <item x="62"/>
        <item x="79"/>
        <item x="17"/>
        <item x="27"/>
        <item x="102"/>
        <item x="185"/>
        <item x="40"/>
        <item x="85"/>
        <item x="144"/>
        <item x="157"/>
        <item x="88"/>
        <item x="206"/>
        <item x="81"/>
        <item x="176"/>
        <item x="51"/>
        <item x="24"/>
        <item x="57"/>
        <item x="76"/>
        <item x="166"/>
        <item x="1"/>
        <item x="67"/>
        <item x="118"/>
        <item x="70"/>
        <item x="155"/>
        <item x="132"/>
        <item x="48"/>
        <item x="146"/>
        <item x="154"/>
        <item x="99"/>
        <item x="72"/>
        <item x="22"/>
        <item x="119"/>
        <item x="180"/>
        <item x="129"/>
        <item x="86"/>
        <item x="191"/>
        <item x="142"/>
        <item x="9"/>
        <item x="116"/>
        <item x="20"/>
        <item x="147"/>
        <item x="105"/>
        <item x="19"/>
        <item x="160"/>
        <item x="21"/>
        <item x="74"/>
        <item x="163"/>
        <item x="183"/>
        <item x="117"/>
        <item x="13"/>
        <item x="7"/>
        <item x="104"/>
        <item x="188"/>
        <item x="101"/>
        <item x="37"/>
        <item x="59"/>
        <item x="14"/>
        <item x="91"/>
        <item x="141"/>
        <item x="207"/>
        <item x="4"/>
        <item x="169"/>
        <item x="47"/>
        <item x="172"/>
        <item x="39"/>
        <item x="161"/>
        <item x="124"/>
        <item x="156"/>
        <item x="133"/>
        <item x="25"/>
        <item x="80"/>
        <item x="186"/>
        <item x="56"/>
        <item x="110"/>
        <item x="187"/>
        <item x="73"/>
        <item x="12"/>
        <item x="15"/>
        <item x="65"/>
        <item x="83"/>
        <item x="143"/>
        <item x="208"/>
        <item x="114"/>
        <item x="53"/>
        <item x="38"/>
        <item x="148"/>
        <item x="150"/>
        <item x="90"/>
        <item x="115"/>
        <item x="192"/>
        <item x="36"/>
        <item x="82"/>
        <item x="130"/>
        <item x="42"/>
        <item x="64"/>
        <item x="193"/>
        <item x="122"/>
        <item x="45"/>
        <item x="61"/>
        <item x="205"/>
        <item x="182"/>
        <item x="31"/>
        <item x="198"/>
        <item x="168"/>
        <item x="121"/>
        <item x="175"/>
        <item x="32"/>
        <item x="173"/>
        <item x="190"/>
        <item x="96"/>
        <item x="113"/>
        <item x="41"/>
        <item x="95"/>
        <item x="108"/>
        <item x="103"/>
        <item x="94"/>
        <item x="201"/>
        <item x="152"/>
        <item x="139"/>
        <item x="158"/>
        <item x="209"/>
        <item t="default"/>
      </items>
    </pivotField>
    <pivotField showAll="0">
      <items count="350">
        <item x="260"/>
        <item x="186"/>
        <item x="226"/>
        <item x="194"/>
        <item x="27"/>
        <item x="136"/>
        <item x="100"/>
        <item x="294"/>
        <item x="18"/>
        <item x="291"/>
        <item x="120"/>
        <item x="227"/>
        <item x="341"/>
        <item x="224"/>
        <item x="151"/>
        <item x="218"/>
        <item x="273"/>
        <item x="3"/>
        <item x="25"/>
        <item x="337"/>
        <item x="160"/>
        <item x="318"/>
        <item x="235"/>
        <item x="137"/>
        <item x="76"/>
        <item x="275"/>
        <item x="315"/>
        <item x="303"/>
        <item x="164"/>
        <item x="206"/>
        <item x="166"/>
        <item x="127"/>
        <item x="26"/>
        <item x="280"/>
        <item x="314"/>
        <item x="171"/>
        <item x="157"/>
        <item x="138"/>
        <item x="228"/>
        <item x="319"/>
        <item x="249"/>
        <item x="95"/>
        <item x="46"/>
        <item x="262"/>
        <item x="169"/>
        <item x="240"/>
        <item x="21"/>
        <item x="7"/>
        <item x="89"/>
        <item x="266"/>
        <item x="261"/>
        <item x="114"/>
        <item x="172"/>
        <item x="242"/>
        <item x="345"/>
        <item x="99"/>
        <item x="241"/>
        <item x="135"/>
        <item x="289"/>
        <item x="170"/>
        <item x="71"/>
        <item x="344"/>
        <item x="88"/>
        <item x="204"/>
        <item x="34"/>
        <item x="173"/>
        <item x="62"/>
        <item x="325"/>
        <item x="140"/>
        <item x="248"/>
        <item x="277"/>
        <item x="276"/>
        <item x="198"/>
        <item x="192"/>
        <item x="6"/>
        <item x="203"/>
        <item x="285"/>
        <item x="72"/>
        <item x="31"/>
        <item x="51"/>
        <item x="233"/>
        <item x="55"/>
        <item x="73"/>
        <item x="83"/>
        <item x="185"/>
        <item x="230"/>
        <item x="307"/>
        <item x="231"/>
        <item x="52"/>
        <item x="61"/>
        <item x="221"/>
        <item x="144"/>
        <item x="125"/>
        <item x="64"/>
        <item x="65"/>
        <item x="175"/>
        <item x="225"/>
        <item x="210"/>
        <item x="16"/>
        <item x="267"/>
        <item x="181"/>
        <item x="98"/>
        <item x="330"/>
        <item x="32"/>
        <item x="212"/>
        <item x="132"/>
        <item x="333"/>
        <item x="115"/>
        <item x="75"/>
        <item x="180"/>
        <item x="81"/>
        <item x="301"/>
        <item x="346"/>
        <item x="45"/>
        <item x="57"/>
        <item x="201"/>
        <item x="38"/>
        <item x="23"/>
        <item x="279"/>
        <item x="322"/>
        <item x="77"/>
        <item x="165"/>
        <item x="190"/>
        <item x="347"/>
        <item x="70"/>
        <item x="272"/>
        <item x="255"/>
        <item x="156"/>
        <item x="243"/>
        <item x="299"/>
        <item x="211"/>
        <item x="163"/>
        <item x="158"/>
        <item x="196"/>
        <item x="101"/>
        <item x="323"/>
        <item x="35"/>
        <item x="313"/>
        <item x="305"/>
        <item x="131"/>
        <item x="302"/>
        <item x="259"/>
        <item x="47"/>
        <item x="20"/>
        <item x="326"/>
        <item x="162"/>
        <item x="148"/>
        <item x="117"/>
        <item x="317"/>
        <item x="10"/>
        <item x="274"/>
        <item x="93"/>
        <item x="56"/>
        <item x="53"/>
        <item x="5"/>
        <item x="49"/>
        <item x="1"/>
        <item x="103"/>
        <item x="300"/>
        <item x="197"/>
        <item x="253"/>
        <item x="207"/>
        <item x="177"/>
        <item x="232"/>
        <item x="44"/>
        <item x="13"/>
        <item x="133"/>
        <item x="328"/>
        <item x="183"/>
        <item x="14"/>
        <item x="104"/>
        <item x="113"/>
        <item x="41"/>
        <item x="121"/>
        <item x="161"/>
        <item x="69"/>
        <item x="187"/>
        <item x="63"/>
        <item x="39"/>
        <item x="239"/>
        <item x="94"/>
        <item x="15"/>
        <item x="324"/>
        <item x="147"/>
        <item x="82"/>
        <item x="80"/>
        <item x="66"/>
        <item x="33"/>
        <item x="306"/>
        <item x="281"/>
        <item x="28"/>
        <item x="263"/>
        <item x="126"/>
        <item x="176"/>
        <item x="24"/>
        <item x="312"/>
        <item x="153"/>
        <item x="79"/>
        <item x="298"/>
        <item x="265"/>
        <item x="308"/>
        <item x="296"/>
        <item x="245"/>
        <item x="130"/>
        <item x="48"/>
        <item x="340"/>
        <item x="119"/>
        <item x="123"/>
        <item x="43"/>
        <item x="60"/>
        <item x="236"/>
        <item x="215"/>
        <item x="338"/>
        <item x="8"/>
        <item x="178"/>
        <item x="334"/>
        <item x="217"/>
        <item x="284"/>
        <item x="214"/>
        <item x="278"/>
        <item x="288"/>
        <item x="68"/>
        <item x="335"/>
        <item x="179"/>
        <item x="143"/>
        <item x="168"/>
        <item x="150"/>
        <item x="146"/>
        <item x="141"/>
        <item x="54"/>
        <item x="189"/>
        <item x="139"/>
        <item x="154"/>
        <item x="91"/>
        <item x="116"/>
        <item x="110"/>
        <item x="331"/>
        <item x="107"/>
        <item x="4"/>
        <item x="209"/>
        <item x="309"/>
        <item x="36"/>
        <item x="205"/>
        <item x="258"/>
        <item x="320"/>
        <item x="316"/>
        <item x="229"/>
        <item x="234"/>
        <item x="184"/>
        <item x="254"/>
        <item x="17"/>
        <item x="268"/>
        <item x="195"/>
        <item x="290"/>
        <item x="155"/>
        <item x="85"/>
        <item x="50"/>
        <item x="37"/>
        <item x="0"/>
        <item x="202"/>
        <item x="59"/>
        <item x="167"/>
        <item x="191"/>
        <item x="87"/>
        <item x="343"/>
        <item x="67"/>
        <item x="297"/>
        <item x="247"/>
        <item x="264"/>
        <item x="86"/>
        <item x="339"/>
        <item x="256"/>
        <item x="11"/>
        <item x="122"/>
        <item x="2"/>
        <item x="271"/>
        <item x="129"/>
        <item x="9"/>
        <item x="174"/>
        <item x="250"/>
        <item x="112"/>
        <item x="208"/>
        <item x="92"/>
        <item x="252"/>
        <item x="251"/>
        <item x="257"/>
        <item x="237"/>
        <item x="304"/>
        <item x="216"/>
        <item x="97"/>
        <item x="109"/>
        <item x="269"/>
        <item x="200"/>
        <item x="42"/>
        <item x="193"/>
        <item x="182"/>
        <item x="321"/>
        <item x="219"/>
        <item x="19"/>
        <item x="223"/>
        <item x="246"/>
        <item x="149"/>
        <item x="336"/>
        <item x="342"/>
        <item x="286"/>
        <item x="222"/>
        <item x="199"/>
        <item x="292"/>
        <item x="287"/>
        <item x="106"/>
        <item x="30"/>
        <item x="102"/>
        <item x="270"/>
        <item x="142"/>
        <item x="118"/>
        <item x="134"/>
        <item x="96"/>
        <item x="327"/>
        <item x="295"/>
        <item x="74"/>
        <item x="58"/>
        <item x="293"/>
        <item x="188"/>
        <item x="90"/>
        <item x="78"/>
        <item x="40"/>
        <item x="124"/>
        <item x="12"/>
        <item x="29"/>
        <item x="282"/>
        <item x="283"/>
        <item x="152"/>
        <item x="329"/>
        <item x="332"/>
        <item x="84"/>
        <item x="105"/>
        <item x="311"/>
        <item x="111"/>
        <item x="213"/>
        <item x="22"/>
        <item x="128"/>
        <item x="108"/>
        <item x="159"/>
        <item x="238"/>
        <item x="145"/>
        <item x="220"/>
        <item x="244"/>
        <item x="310"/>
        <item x="348"/>
        <item t="default"/>
      </items>
    </pivotField>
    <pivotField showAll="0"/>
    <pivotField showAll="0"/>
    <pivotField showAll="0"/>
    <pivotField showAll="0"/>
    <pivotField axis="axisRow" showAll="0">
      <items count="6">
        <item x="2"/>
        <item x="4"/>
        <item x="3"/>
        <item x="1"/>
        <item h="1" x="0"/>
        <item t="default"/>
      </items>
    </pivotField>
    <pivotField dataField="1" showAll="0">
      <items count="14">
        <item x="12"/>
        <item x="11"/>
        <item x="5"/>
        <item x="4"/>
        <item x="1"/>
        <item x="2"/>
        <item x="3"/>
        <item x="6"/>
        <item x="7"/>
        <item x="8"/>
        <item x="9"/>
        <item x="10"/>
        <item x="0"/>
        <item t="default"/>
      </items>
    </pivotField>
    <pivotField dataField="1" showAll="0">
      <items count="13">
        <item x="1"/>
        <item x="2"/>
        <item x="3"/>
        <item x="4"/>
        <item x="11"/>
        <item x="5"/>
        <item x="6"/>
        <item x="7"/>
        <item x="8"/>
        <item x="9"/>
        <item x="10"/>
        <item x="0"/>
        <item t="default"/>
      </items>
    </pivotField>
    <pivotField showAll="0"/>
    <pivotField name="  " axis="axisPage"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t="grand">
      <x/>
    </i>
  </rowItems>
  <colFields count="1">
    <field x="-2"/>
  </colFields>
  <colItems count="2">
    <i>
      <x/>
    </i>
    <i i="1">
      <x v="1"/>
    </i>
  </colItems>
  <pageFields count="2">
    <pageField fld="1" hier="-1"/>
    <pageField fld="14" hier="-1"/>
  </pageFields>
  <dataFields count="2">
    <dataField name="Summe von Mitarbeiter (M)" fld="11" baseField="0" baseItem="0"/>
    <dataField name="Summe von Mitarbeiter (F)" fld="1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 format="9">
      <pivotArea type="data" outline="0" fieldPosition="0">
        <references count="2">
          <reference field="4294967294" count="1" selected="0">
            <x v="0"/>
          </reference>
          <reference field="10" count="1" selected="0">
            <x v="1"/>
          </reference>
        </references>
      </pivotArea>
    </chartFormat>
    <chartFormat chart="3" format="13">
      <pivotArea type="data" outline="0" fieldPosition="0">
        <references count="2">
          <reference field="4294967294" count="1" selected="0">
            <x v="0"/>
          </reference>
          <reference field="10" count="1" selected="0">
            <x v="3"/>
          </reference>
        </references>
      </pivotArea>
    </chartFormat>
    <chartFormat chart="3" format="14">
      <pivotArea type="data" outline="0" fieldPosition="0">
        <references count="2">
          <reference field="4294967294" count="1" selected="0">
            <x v="1"/>
          </reference>
          <reference field="10" count="1" selected="0">
            <x v="3"/>
          </reference>
        </references>
      </pivotArea>
    </chartFormat>
    <chartFormat chart="3" format="15">
      <pivotArea type="data" outline="0" fieldPosition="0">
        <references count="2">
          <reference field="4294967294" count="1" selected="0">
            <x v="1"/>
          </reference>
          <reference field="10"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112099-56AC-744D-8143-D0FBF347DFAE}" name="PivotTable9" cacheId="3" applyNumberFormats="0" applyBorderFormats="0" applyFontFormats="0" applyPatternFormats="0" applyAlignmentFormats="0" applyWidthHeightFormats="1" dataCaption="Werte" updatedVersion="6" minRefreshableVersion="3" useAutoFormatting="1" colGrandTotals="0" itemPrintTitles="1" createdVersion="6" indent="0" outline="1" outlineData="1" multipleFieldFilters="0" chartFormat="3">
  <location ref="B4:G12" firstHeaderRow="1" firstDataRow="2" firstDataCol="1"/>
  <pivotFields count="15">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0"/>
        <item x="1"/>
        <item x="2"/>
        <item x="3"/>
        <item x="4"/>
        <item x="5"/>
        <item x="6"/>
        <item t="default"/>
      </items>
    </pivotField>
    <pivotField showAll="0"/>
    <pivotField showAll="0"/>
    <pivotField showAll="0"/>
    <pivotField showAll="0">
      <items count="8">
        <item x="2"/>
        <item x="5"/>
        <item x="0"/>
        <item x="3"/>
        <item x="1"/>
        <item x="4"/>
        <item x="6"/>
        <item t="default"/>
      </items>
    </pivotField>
    <pivotField showAll="0"/>
    <pivotField showAll="0"/>
    <pivotField axis="axisCol" showAll="0">
      <items count="7">
        <item x="2"/>
        <item x="4"/>
        <item x="3"/>
        <item x="1"/>
        <item h="1" x="5"/>
        <item x="0"/>
        <item t="default"/>
      </items>
    </pivotField>
    <pivotField showAll="0">
      <items count="6">
        <item x="2"/>
        <item x="4"/>
        <item x="3"/>
        <item x="1"/>
        <item h="1" x="0"/>
        <item t="default"/>
      </items>
    </pivotField>
    <pivotField showAll="0">
      <items count="14">
        <item x="12"/>
        <item x="11"/>
        <item x="5"/>
        <item x="4"/>
        <item x="1"/>
        <item x="2"/>
        <item x="3"/>
        <item x="6"/>
        <item x="7"/>
        <item x="8"/>
        <item x="9"/>
        <item x="10"/>
        <item x="0"/>
        <item t="default"/>
      </items>
    </pivotField>
    <pivotField showAll="0">
      <items count="13">
        <item x="1"/>
        <item x="2"/>
        <item x="3"/>
        <item x="4"/>
        <item x="11"/>
        <item x="5"/>
        <item x="6"/>
        <item x="7"/>
        <item x="8"/>
        <item x="9"/>
        <item x="10"/>
        <item x="0"/>
        <item t="default"/>
      </items>
    </pivotField>
    <pivotField showAll="0"/>
    <pivotField dataField="1"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Fields count="1">
    <field x="9"/>
  </colFields>
  <colItems count="5">
    <i>
      <x/>
    </i>
    <i>
      <x v="1"/>
    </i>
    <i>
      <x v="2"/>
    </i>
    <i>
      <x v="3"/>
    </i>
    <i>
      <x v="5"/>
    </i>
  </colItems>
  <dataFields count="1">
    <dataField name="Anzahl von Monate" fld="14" subtotal="count"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5"/>
          </reference>
        </references>
      </pivotArea>
    </chartFormat>
    <chartFormat chart="2" format="10" series="1">
      <pivotArea type="data" outline="0" fieldPosition="0">
        <references count="2">
          <reference field="4294967294" count="1" selected="0">
            <x v="0"/>
          </reference>
          <reference field="9" count="1" selected="0">
            <x v="0"/>
          </reference>
        </references>
      </pivotArea>
    </chartFormat>
    <chartFormat chart="2" format="11" series="1">
      <pivotArea type="data" outline="0" fieldPosition="0">
        <references count="2">
          <reference field="4294967294" count="1" selected="0">
            <x v="0"/>
          </reference>
          <reference field="9" count="1" selected="0">
            <x v="1"/>
          </reference>
        </references>
      </pivotArea>
    </chartFormat>
    <chartFormat chart="2" format="12" series="1">
      <pivotArea type="data" outline="0" fieldPosition="0">
        <references count="2">
          <reference field="4294967294" count="1" selected="0">
            <x v="0"/>
          </reference>
          <reference field="9" count="1" selected="0">
            <x v="2"/>
          </reference>
        </references>
      </pivotArea>
    </chartFormat>
    <chartFormat chart="2" format="13" series="1">
      <pivotArea type="data" outline="0" fieldPosition="0">
        <references count="2">
          <reference field="4294967294" count="1" selected="0">
            <x v="0"/>
          </reference>
          <reference field="9" count="1" selected="0">
            <x v="3"/>
          </reference>
        </references>
      </pivotArea>
    </chartFormat>
    <chartFormat chart="2" format="14"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kt" xr10:uid="{9565611C-27A7-3E49-A062-D9CB9A6EC792}" sourceName="Produkt">
  <pivotTables>
    <pivotTable tabId="2" name="PivotTable5"/>
    <pivotTable tabId="2" name="PivotTable6"/>
    <pivotTable tabId="8" name="PivotTable3"/>
    <pivotTable tabId="8" name="PivotTable4"/>
  </pivotTables>
  <data>
    <tabular pivotCacheId="528480283">
      <items count="7">
        <i x="0" s="1"/>
        <i x="1" s="1"/>
        <i x="2" s="1"/>
        <i x="3" s="1"/>
        <i x="4"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and" xr10:uid="{422E9EDE-5B1F-4444-ADA2-0E5FA435335C}" sourceName="Land">
  <pivotTables>
    <pivotTable tabId="2" name="PivotTable5"/>
    <pivotTable tabId="2" name="PivotTable6"/>
    <pivotTable tabId="8" name="PivotTable3"/>
    <pivotTable tabId="8" name="PivotTable4"/>
  </pivotTables>
  <data>
    <tabular pivotCacheId="528480283">
      <items count="11">
        <i x="8" s="1"/>
        <i x="0" s="1"/>
        <i x="3" s="1"/>
        <i x="2" s="1"/>
        <i x="6" s="1"/>
        <i x="1" s="1"/>
        <i x="9" s="1"/>
        <i x="4" s="1"/>
        <i x="7" s="1"/>
        <i x="5"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unde" xr10:uid="{259F8548-FA26-D54C-A3DF-844FC7CC270A}" sourceName="Kunde">
  <pivotTables>
    <pivotTable tabId="2" name="PivotTable5"/>
    <pivotTable tabId="2" name="PivotTable6"/>
    <pivotTable tabId="8" name="PivotTable3"/>
    <pivotTable tabId="8" name="PivotTable4"/>
  </pivotTables>
  <data>
    <tabular pivotCacheId="528480283">
      <items count="7">
        <i x="2" s="1"/>
        <i x="5" s="1"/>
        <i x="0" s="1"/>
        <i x="3" s="1"/>
        <i x="1" s="1"/>
        <i x="4"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onate1" xr10:uid="{AA9FB771-D2F9-BC4B-90EB-FB1497688A3B}" sourceName="Monate">
  <pivotTables>
    <pivotTable tabId="11" name="PivotTable8"/>
  </pivotTables>
  <data>
    <tabular pivotCacheId="59450918">
      <items count="14">
        <i x="1" s="1"/>
        <i x="2" s="1"/>
        <i x="3" s="1"/>
        <i x="4" s="1"/>
        <i x="5" s="1"/>
        <i x="6" s="1"/>
        <i x="7" s="1"/>
        <i x="8" s="1" nd="1"/>
        <i x="9" s="1" nd="1"/>
        <i x="10" s="1" nd="1"/>
        <i x="11" s="1" nd="1"/>
        <i x="12"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unde1" xr10:uid="{3C09B6A2-52DE-C548-AD69-7EC98AC8F246}" sourceName="Kunde">
  <pivotTables>
    <pivotTable tabId="10" name="PivotTable9"/>
  </pivotTables>
  <data>
    <tabular pivotCacheId="59450918">
      <items count="7">
        <i x="2" s="1"/>
        <i x="5" s="1"/>
        <i x="0" s="1"/>
        <i x="3" s="1"/>
        <i x="1" s="1"/>
        <i x="4"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onate" xr10:uid="{13DFD33D-2675-D944-B379-4317E606C3D0}" sourceName="Monate">
  <pivotTables>
    <pivotTable tabId="10" name="PivotTable9"/>
  </pivotTables>
  <data>
    <tabular pivotCacheId="59450918">
      <items count="14">
        <i x="1" s="1"/>
        <i x="2" s="1"/>
        <i x="3" s="1"/>
        <i x="4" s="1"/>
        <i x="5" s="1"/>
        <i x="6" s="1"/>
        <i x="7" s="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kt" xr10:uid="{4AC64733-3CA8-6043-AE12-9831D3C99697}" cache="Datenschnitt_Produkt" caption="Produkt" rowHeight="251883"/>
  <slicer name="Land" xr10:uid="{EB487E7D-5A6A-6D4B-A203-503D10A3F49D}" cache="Datenschnitt_Land" caption="Land" rowHeight="251883"/>
  <slicer name="Kunde" xr10:uid="{842D9BA5-6CEC-9141-9B45-6BF12E471CEB}" cache="Datenschnitt_Kunde" caption="Kunde" rowHeight="251883"/>
  <slicer name="Monate" xr10:uid="{C153D87A-823E-DF42-88DF-CF17CDC57808}" cache="Datenschnitt_Monate1" caption="Monate" rowHeight="251883"/>
  <slicer name="Kunde 1" xr10:uid="{CC93BB17-E5BB-7044-A76E-925066807E2C}" cache="Datenschnitt_Kunde1" caption="Kunde" rowHeight="251883"/>
  <slicer name="Monate 1" xr10:uid="{C0292495-E6DB-124D-B624-7BEA6E5E22C6}" cache="Datenschnitt_Monate" caption="Monate" rowHeight="251883"/>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F5A6-250A-3844-B7CD-019060D4B878}">
  <dimension ref="S13"/>
  <sheetViews>
    <sheetView showGridLines="0" topLeftCell="B1" zoomScale="89" zoomScaleNormal="140" workbookViewId="0">
      <selection activeCell="P39" sqref="P39"/>
    </sheetView>
  </sheetViews>
  <sheetFormatPr baseColWidth="10" defaultRowHeight="16"/>
  <sheetData>
    <row r="13" spans="19:19">
      <c r="S13" s="54"/>
    </row>
  </sheetData>
  <pageMargins left="0.7" right="0.7" top="0.78740157499999996" bottom="0.78740157499999996"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E829C-6848-1044-97FF-F7B313DFDE74}">
  <dimension ref="A1:Q407"/>
  <sheetViews>
    <sheetView tabSelected="1" zoomScaleNormal="110" workbookViewId="0">
      <pane ySplit="1" topLeftCell="A2" activePane="bottomLeft" state="frozen"/>
      <selection pane="bottomLeft" activeCell="N323" sqref="N323"/>
    </sheetView>
  </sheetViews>
  <sheetFormatPr baseColWidth="10" defaultRowHeight="15"/>
  <cols>
    <col min="1" max="2" width="10.83203125" style="1"/>
    <col min="3" max="3" width="18.83203125" style="1" customWidth="1"/>
    <col min="4" max="4" width="10.83203125" style="1"/>
    <col min="5" max="6" width="12.5" style="1" bestFit="1" customWidth="1"/>
    <col min="7" max="7" width="24.5" style="1" customWidth="1"/>
    <col min="8" max="8" width="20.1640625" style="1" bestFit="1" customWidth="1"/>
    <col min="9" max="9" width="20.1640625" style="1" customWidth="1"/>
    <col min="10" max="10" width="20.1640625" style="1" bestFit="1" customWidth="1"/>
    <col min="11" max="11" width="10.5" style="1" bestFit="1" customWidth="1"/>
    <col min="12" max="12" width="15" style="1" bestFit="1" customWidth="1"/>
    <col min="13" max="13" width="14.1640625" style="1" bestFit="1" customWidth="1"/>
    <col min="14" max="14" width="21.6640625" style="1" bestFit="1" customWidth="1"/>
    <col min="15" max="15" width="2.6640625" style="1" customWidth="1"/>
    <col min="16" max="16384" width="10.83203125" style="1"/>
  </cols>
  <sheetData>
    <row r="1" spans="1:14">
      <c r="A1" s="11" t="s">
        <v>0</v>
      </c>
      <c r="B1" s="11" t="s">
        <v>1</v>
      </c>
      <c r="C1" s="11" t="s">
        <v>2</v>
      </c>
      <c r="D1" s="11" t="s">
        <v>3</v>
      </c>
      <c r="E1" s="11" t="s">
        <v>4</v>
      </c>
      <c r="F1" s="11" t="s">
        <v>5</v>
      </c>
      <c r="G1" s="11" t="s">
        <v>6</v>
      </c>
      <c r="H1" s="11" t="s">
        <v>7</v>
      </c>
      <c r="I1" s="11" t="s">
        <v>8</v>
      </c>
      <c r="J1" s="11" t="s">
        <v>9</v>
      </c>
      <c r="K1" s="11" t="s">
        <v>10</v>
      </c>
      <c r="L1" s="11" t="s">
        <v>11</v>
      </c>
      <c r="M1" s="11" t="s">
        <v>12</v>
      </c>
      <c r="N1" s="11" t="s">
        <v>68</v>
      </c>
    </row>
    <row r="2" spans="1:14">
      <c r="A2" s="1" t="s">
        <v>13</v>
      </c>
      <c r="B2" s="2">
        <v>43466</v>
      </c>
      <c r="C2" s="1" t="s">
        <v>14</v>
      </c>
      <c r="D2" s="1" t="s">
        <v>15</v>
      </c>
      <c r="E2" s="1">
        <v>2853</v>
      </c>
      <c r="F2" s="1">
        <v>7685</v>
      </c>
      <c r="G2" s="1" t="s">
        <v>16</v>
      </c>
      <c r="H2" s="1" t="s">
        <v>17</v>
      </c>
      <c r="I2" s="1" t="s">
        <v>18</v>
      </c>
      <c r="J2" s="1" t="s">
        <v>19</v>
      </c>
    </row>
    <row r="3" spans="1:14">
      <c r="A3" s="1" t="s">
        <v>13</v>
      </c>
      <c r="B3" s="2">
        <v>43467</v>
      </c>
      <c r="C3" s="1" t="s">
        <v>20</v>
      </c>
      <c r="D3" s="1" t="s">
        <v>21</v>
      </c>
      <c r="E3" s="1">
        <v>5749</v>
      </c>
      <c r="F3" s="1">
        <v>5254</v>
      </c>
      <c r="G3" s="1" t="s">
        <v>22</v>
      </c>
      <c r="H3" s="1" t="s">
        <v>23</v>
      </c>
      <c r="I3" s="1" t="s">
        <v>18</v>
      </c>
      <c r="J3" s="1" t="s">
        <v>19</v>
      </c>
    </row>
    <row r="4" spans="1:14">
      <c r="A4" s="1" t="s">
        <v>13</v>
      </c>
      <c r="B4" s="2">
        <v>43468</v>
      </c>
      <c r="C4" s="1" t="s">
        <v>24</v>
      </c>
      <c r="D4" s="1" t="s">
        <v>25</v>
      </c>
      <c r="E4" s="1">
        <v>1228</v>
      </c>
      <c r="F4" s="1">
        <v>8024</v>
      </c>
      <c r="G4" s="1" t="s">
        <v>26</v>
      </c>
      <c r="H4" s="1" t="s">
        <v>17</v>
      </c>
      <c r="I4" s="1" t="s">
        <v>18</v>
      </c>
      <c r="J4" s="1" t="s">
        <v>19</v>
      </c>
    </row>
    <row r="5" spans="1:14">
      <c r="A5" s="1" t="s">
        <v>13</v>
      </c>
      <c r="B5" s="2">
        <v>43469</v>
      </c>
      <c r="C5" s="1" t="s">
        <v>27</v>
      </c>
      <c r="D5" s="1" t="s">
        <v>28</v>
      </c>
      <c r="E5" s="1">
        <v>2828</v>
      </c>
      <c r="F5" s="1">
        <v>1514</v>
      </c>
      <c r="G5" s="1" t="s">
        <v>29</v>
      </c>
      <c r="H5" s="1" t="s">
        <v>17</v>
      </c>
      <c r="I5" s="1" t="s">
        <v>18</v>
      </c>
      <c r="J5" s="1" t="s">
        <v>19</v>
      </c>
    </row>
    <row r="6" spans="1:14">
      <c r="A6" s="1" t="s">
        <v>13</v>
      </c>
      <c r="B6" s="2">
        <v>43470</v>
      </c>
      <c r="C6" s="1" t="s">
        <v>30</v>
      </c>
      <c r="D6" s="1" t="s">
        <v>31</v>
      </c>
      <c r="E6" s="1">
        <v>7574</v>
      </c>
      <c r="F6" s="1">
        <v>7098</v>
      </c>
      <c r="G6" s="1" t="s">
        <v>32</v>
      </c>
      <c r="H6" s="1" t="s">
        <v>17</v>
      </c>
      <c r="I6" s="1" t="s">
        <v>18</v>
      </c>
      <c r="J6" s="1" t="s">
        <v>33</v>
      </c>
    </row>
    <row r="7" spans="1:14">
      <c r="A7" s="1" t="s">
        <v>13</v>
      </c>
      <c r="B7" s="2">
        <v>43471</v>
      </c>
      <c r="C7" s="1" t="s">
        <v>34</v>
      </c>
      <c r="D7" s="1" t="s">
        <v>35</v>
      </c>
      <c r="E7" s="1">
        <v>4090</v>
      </c>
      <c r="F7" s="1">
        <v>5219</v>
      </c>
      <c r="G7" s="1" t="s">
        <v>36</v>
      </c>
      <c r="H7" s="1" t="s">
        <v>17</v>
      </c>
      <c r="I7" s="1" t="s">
        <v>18</v>
      </c>
      <c r="J7" s="1" t="s">
        <v>33</v>
      </c>
    </row>
    <row r="8" spans="1:14">
      <c r="A8" s="1" t="s">
        <v>13</v>
      </c>
      <c r="B8" s="2">
        <v>43472</v>
      </c>
      <c r="C8" s="1" t="s">
        <v>14</v>
      </c>
      <c r="D8" s="1" t="s">
        <v>37</v>
      </c>
      <c r="E8" s="1">
        <v>3898</v>
      </c>
      <c r="F8" s="1">
        <v>3055</v>
      </c>
      <c r="G8" s="1" t="s">
        <v>16</v>
      </c>
      <c r="H8" s="1" t="s">
        <v>17</v>
      </c>
      <c r="I8" s="1" t="s">
        <v>18</v>
      </c>
      <c r="J8" s="1" t="s">
        <v>33</v>
      </c>
    </row>
    <row r="9" spans="1:14">
      <c r="A9" s="1" t="s">
        <v>13</v>
      </c>
      <c r="B9" s="2">
        <v>43473</v>
      </c>
      <c r="C9" s="1" t="s">
        <v>20</v>
      </c>
      <c r="D9" s="1" t="s">
        <v>38</v>
      </c>
      <c r="E9" s="1">
        <v>7270</v>
      </c>
      <c r="F9" s="1">
        <v>2253</v>
      </c>
      <c r="G9" s="1" t="s">
        <v>22</v>
      </c>
      <c r="H9" s="1" t="s">
        <v>23</v>
      </c>
      <c r="I9" s="1" t="s">
        <v>18</v>
      </c>
      <c r="J9" s="1" t="s">
        <v>33</v>
      </c>
    </row>
    <row r="10" spans="1:14">
      <c r="A10" s="1" t="s">
        <v>13</v>
      </c>
      <c r="B10" s="2">
        <v>43474</v>
      </c>
      <c r="C10" s="1" t="s">
        <v>24</v>
      </c>
      <c r="D10" s="1" t="s">
        <v>39</v>
      </c>
      <c r="E10" s="1">
        <v>1367</v>
      </c>
      <c r="F10" s="1">
        <v>6540</v>
      </c>
      <c r="G10" s="1" t="s">
        <v>26</v>
      </c>
      <c r="H10" s="1" t="s">
        <v>17</v>
      </c>
      <c r="I10" s="1" t="s">
        <v>18</v>
      </c>
      <c r="J10" s="1" t="s">
        <v>33</v>
      </c>
    </row>
    <row r="11" spans="1:14">
      <c r="A11" s="1" t="s">
        <v>13</v>
      </c>
      <c r="B11" s="2">
        <v>43475</v>
      </c>
      <c r="C11" s="1" t="s">
        <v>27</v>
      </c>
      <c r="D11" s="1" t="s">
        <v>40</v>
      </c>
      <c r="E11" s="1">
        <v>6510</v>
      </c>
      <c r="F11" s="1">
        <v>8082</v>
      </c>
      <c r="G11" s="1" t="s">
        <v>29</v>
      </c>
      <c r="H11" s="1" t="s">
        <v>17</v>
      </c>
      <c r="I11" s="1" t="s">
        <v>18</v>
      </c>
      <c r="J11" s="1" t="s">
        <v>33</v>
      </c>
    </row>
    <row r="12" spans="1:14">
      <c r="A12" s="1" t="s">
        <v>13</v>
      </c>
      <c r="B12" s="2">
        <v>43476</v>
      </c>
      <c r="C12" s="1" t="s">
        <v>30</v>
      </c>
      <c r="D12" s="1" t="s">
        <v>15</v>
      </c>
      <c r="E12" s="1">
        <v>3287</v>
      </c>
      <c r="F12" s="1">
        <v>5061</v>
      </c>
      <c r="G12" s="1" t="s">
        <v>32</v>
      </c>
      <c r="H12" s="1" t="s">
        <v>17</v>
      </c>
      <c r="I12" s="1" t="s">
        <v>18</v>
      </c>
      <c r="J12" s="1" t="s">
        <v>33</v>
      </c>
    </row>
    <row r="13" spans="1:14">
      <c r="A13" s="1" t="s">
        <v>13</v>
      </c>
      <c r="B13" s="2">
        <v>43477</v>
      </c>
      <c r="C13" s="1" t="s">
        <v>34</v>
      </c>
      <c r="D13" s="1" t="s">
        <v>21</v>
      </c>
      <c r="E13" s="1">
        <v>1487</v>
      </c>
      <c r="F13" s="1">
        <v>7989</v>
      </c>
      <c r="G13" s="1" t="s">
        <v>36</v>
      </c>
      <c r="H13" s="1" t="s">
        <v>17</v>
      </c>
      <c r="I13" s="1" t="s">
        <v>18</v>
      </c>
      <c r="J13" s="1" t="s">
        <v>33</v>
      </c>
    </row>
    <row r="14" spans="1:14">
      <c r="A14" s="1" t="s">
        <v>13</v>
      </c>
      <c r="B14" s="2">
        <v>43478</v>
      </c>
      <c r="C14" s="1" t="s">
        <v>14</v>
      </c>
      <c r="D14" s="1" t="s">
        <v>25</v>
      </c>
      <c r="E14" s="1">
        <v>8380</v>
      </c>
      <c r="F14" s="1">
        <v>9383</v>
      </c>
      <c r="G14" s="1" t="s">
        <v>16</v>
      </c>
      <c r="H14" s="1" t="s">
        <v>17</v>
      </c>
      <c r="I14" s="1" t="s">
        <v>18</v>
      </c>
      <c r="J14" s="1" t="s">
        <v>33</v>
      </c>
    </row>
    <row r="15" spans="1:14">
      <c r="A15" s="1" t="s">
        <v>13</v>
      </c>
      <c r="B15" s="2">
        <v>43479</v>
      </c>
      <c r="C15" s="1" t="s">
        <v>20</v>
      </c>
      <c r="D15" s="1" t="s">
        <v>28</v>
      </c>
      <c r="E15" s="1">
        <v>7243</v>
      </c>
      <c r="F15" s="1">
        <v>5566</v>
      </c>
      <c r="G15" s="1" t="s">
        <v>22</v>
      </c>
      <c r="H15" s="1" t="s">
        <v>17</v>
      </c>
      <c r="I15" s="1" t="s">
        <v>18</v>
      </c>
      <c r="J15" s="1" t="s">
        <v>33</v>
      </c>
    </row>
    <row r="16" spans="1:14">
      <c r="A16" s="1" t="s">
        <v>13</v>
      </c>
      <c r="B16" s="2">
        <v>43480</v>
      </c>
      <c r="C16" s="1" t="s">
        <v>24</v>
      </c>
      <c r="D16" s="1" t="s">
        <v>31</v>
      </c>
      <c r="E16" s="1">
        <v>7458</v>
      </c>
      <c r="F16" s="1">
        <v>5704</v>
      </c>
      <c r="G16" s="1" t="s">
        <v>26</v>
      </c>
      <c r="H16" s="1" t="s">
        <v>17</v>
      </c>
      <c r="I16" s="1" t="s">
        <v>18</v>
      </c>
      <c r="J16" s="1" t="s">
        <v>33</v>
      </c>
    </row>
    <row r="17" spans="1:10">
      <c r="A17" s="1" t="s">
        <v>13</v>
      </c>
      <c r="B17" s="2">
        <v>43481</v>
      </c>
      <c r="C17" s="1" t="s">
        <v>27</v>
      </c>
      <c r="D17" s="1" t="s">
        <v>35</v>
      </c>
      <c r="E17" s="1">
        <v>8405</v>
      </c>
      <c r="F17" s="1">
        <v>5976</v>
      </c>
      <c r="G17" s="1" t="s">
        <v>29</v>
      </c>
      <c r="H17" s="1" t="s">
        <v>17</v>
      </c>
      <c r="I17" s="1" t="s">
        <v>18</v>
      </c>
      <c r="J17" s="1" t="s">
        <v>33</v>
      </c>
    </row>
    <row r="18" spans="1:10">
      <c r="A18" s="1" t="s">
        <v>13</v>
      </c>
      <c r="B18" s="2">
        <v>43482</v>
      </c>
      <c r="C18" s="1" t="s">
        <v>30</v>
      </c>
      <c r="D18" s="1" t="s">
        <v>37</v>
      </c>
      <c r="E18" s="1">
        <v>4645</v>
      </c>
      <c r="F18" s="1">
        <v>3832</v>
      </c>
      <c r="G18" s="1" t="s">
        <v>32</v>
      </c>
      <c r="H18" s="1" t="s">
        <v>17</v>
      </c>
      <c r="I18" s="1" t="s">
        <v>18</v>
      </c>
      <c r="J18" s="1" t="s">
        <v>33</v>
      </c>
    </row>
    <row r="19" spans="1:10">
      <c r="A19" s="1" t="s">
        <v>13</v>
      </c>
      <c r="B19" s="2">
        <v>43483</v>
      </c>
      <c r="C19" s="1" t="s">
        <v>34</v>
      </c>
      <c r="D19" s="1" t="s">
        <v>38</v>
      </c>
      <c r="E19" s="1">
        <v>5111</v>
      </c>
      <c r="F19" s="1">
        <v>7479</v>
      </c>
      <c r="G19" s="1" t="s">
        <v>36</v>
      </c>
      <c r="H19" s="1" t="s">
        <v>23</v>
      </c>
      <c r="I19" s="1" t="s">
        <v>18</v>
      </c>
      <c r="J19" s="1" t="s">
        <v>19</v>
      </c>
    </row>
    <row r="20" spans="1:10">
      <c r="A20" s="1" t="s">
        <v>13</v>
      </c>
      <c r="B20" s="2">
        <v>43484</v>
      </c>
      <c r="C20" s="1" t="s">
        <v>14</v>
      </c>
      <c r="D20" s="1" t="s">
        <v>39</v>
      </c>
      <c r="E20" s="1">
        <v>4466</v>
      </c>
      <c r="F20" s="1">
        <v>1169</v>
      </c>
      <c r="G20" s="1" t="s">
        <v>16</v>
      </c>
      <c r="H20" s="1" t="s">
        <v>23</v>
      </c>
      <c r="I20" s="1" t="s">
        <v>18</v>
      </c>
      <c r="J20" s="1" t="s">
        <v>19</v>
      </c>
    </row>
    <row r="21" spans="1:10">
      <c r="A21" s="1" t="s">
        <v>13</v>
      </c>
      <c r="B21" s="2">
        <v>43485</v>
      </c>
      <c r="C21" s="1" t="s">
        <v>20</v>
      </c>
      <c r="D21" s="1" t="s">
        <v>40</v>
      </c>
      <c r="E21" s="1">
        <v>6718</v>
      </c>
      <c r="F21" s="1">
        <v>8652</v>
      </c>
      <c r="G21" s="1" t="s">
        <v>22</v>
      </c>
      <c r="H21" s="1" t="s">
        <v>17</v>
      </c>
      <c r="I21" s="1" t="s">
        <v>18</v>
      </c>
      <c r="J21" s="1" t="s">
        <v>19</v>
      </c>
    </row>
    <row r="22" spans="1:10">
      <c r="A22" s="1" t="s">
        <v>13</v>
      </c>
      <c r="B22" s="2">
        <v>43486</v>
      </c>
      <c r="C22" s="1" t="s">
        <v>24</v>
      </c>
      <c r="D22" s="1" t="s">
        <v>15</v>
      </c>
      <c r="E22" s="1">
        <v>6653</v>
      </c>
      <c r="F22" s="1">
        <v>4940</v>
      </c>
      <c r="G22" s="1" t="s">
        <v>26</v>
      </c>
      <c r="H22" s="1" t="s">
        <v>17</v>
      </c>
      <c r="I22" s="1" t="s">
        <v>18</v>
      </c>
      <c r="J22" s="1" t="s">
        <v>19</v>
      </c>
    </row>
    <row r="23" spans="1:10">
      <c r="A23" s="1" t="s">
        <v>13</v>
      </c>
      <c r="B23" s="2">
        <v>43487</v>
      </c>
      <c r="C23" s="1" t="s">
        <v>27</v>
      </c>
      <c r="D23" s="1" t="s">
        <v>21</v>
      </c>
      <c r="E23" s="1">
        <v>6956</v>
      </c>
      <c r="F23" s="1">
        <v>2238</v>
      </c>
      <c r="G23" s="1" t="s">
        <v>29</v>
      </c>
      <c r="H23" s="1" t="s">
        <v>17</v>
      </c>
      <c r="I23" s="1" t="s">
        <v>18</v>
      </c>
      <c r="J23" s="1" t="s">
        <v>19</v>
      </c>
    </row>
    <row r="24" spans="1:10">
      <c r="A24" s="1" t="s">
        <v>13</v>
      </c>
      <c r="B24" s="2">
        <v>43488</v>
      </c>
      <c r="C24" s="1" t="s">
        <v>30</v>
      </c>
      <c r="D24" s="1" t="s">
        <v>25</v>
      </c>
      <c r="E24" s="1">
        <v>6163</v>
      </c>
      <c r="F24" s="1">
        <v>9682</v>
      </c>
      <c r="G24" s="1" t="s">
        <v>32</v>
      </c>
      <c r="H24" s="1" t="s">
        <v>17</v>
      </c>
      <c r="I24" s="1" t="s">
        <v>18</v>
      </c>
      <c r="J24" s="1" t="s">
        <v>19</v>
      </c>
    </row>
    <row r="25" spans="1:10">
      <c r="A25" s="1" t="s">
        <v>13</v>
      </c>
      <c r="B25" s="2">
        <v>43489</v>
      </c>
      <c r="C25" s="1" t="s">
        <v>34</v>
      </c>
      <c r="D25" s="1" t="s">
        <v>28</v>
      </c>
      <c r="E25" s="1">
        <v>4221</v>
      </c>
      <c r="F25" s="1">
        <v>4331</v>
      </c>
      <c r="G25" s="1" t="s">
        <v>36</v>
      </c>
      <c r="H25" s="1" t="s">
        <v>17</v>
      </c>
      <c r="I25" s="1" t="s">
        <v>18</v>
      </c>
      <c r="J25" s="1" t="s">
        <v>33</v>
      </c>
    </row>
    <row r="26" spans="1:10">
      <c r="A26" s="1" t="s">
        <v>13</v>
      </c>
      <c r="B26" s="2">
        <v>43490</v>
      </c>
      <c r="C26" s="1" t="s">
        <v>14</v>
      </c>
      <c r="D26" s="1" t="s">
        <v>31</v>
      </c>
      <c r="E26" s="1">
        <v>5650</v>
      </c>
      <c r="F26" s="1">
        <v>6172</v>
      </c>
      <c r="G26" s="1" t="s">
        <v>16</v>
      </c>
      <c r="H26" s="1" t="s">
        <v>17</v>
      </c>
      <c r="I26" s="1" t="s">
        <v>18</v>
      </c>
      <c r="J26" s="1" t="s">
        <v>41</v>
      </c>
    </row>
    <row r="27" spans="1:10">
      <c r="A27" s="1" t="s">
        <v>13</v>
      </c>
      <c r="B27" s="2">
        <v>43491</v>
      </c>
      <c r="C27" s="1" t="s">
        <v>20</v>
      </c>
      <c r="D27" s="1" t="s">
        <v>35</v>
      </c>
      <c r="E27" s="1">
        <v>7934</v>
      </c>
      <c r="F27" s="1">
        <v>1518</v>
      </c>
      <c r="G27" s="1" t="s">
        <v>22</v>
      </c>
      <c r="H27" s="1" t="s">
        <v>17</v>
      </c>
      <c r="I27" s="1" t="s">
        <v>18</v>
      </c>
      <c r="J27" s="1" t="s">
        <v>33</v>
      </c>
    </row>
    <row r="28" spans="1:10">
      <c r="A28" s="1" t="s">
        <v>13</v>
      </c>
      <c r="B28" s="2">
        <v>43492</v>
      </c>
      <c r="C28" s="1" t="s">
        <v>24</v>
      </c>
      <c r="D28" s="1" t="s">
        <v>37</v>
      </c>
      <c r="E28" s="1">
        <v>2913</v>
      </c>
      <c r="F28" s="1">
        <v>1868</v>
      </c>
      <c r="G28" s="1" t="s">
        <v>26</v>
      </c>
      <c r="H28" s="1" t="s">
        <v>17</v>
      </c>
      <c r="I28" s="1" t="s">
        <v>18</v>
      </c>
      <c r="J28" s="1" t="s">
        <v>41</v>
      </c>
    </row>
    <row r="29" spans="1:10">
      <c r="A29" s="1" t="s">
        <v>13</v>
      </c>
      <c r="B29" s="2">
        <v>43493</v>
      </c>
      <c r="C29" s="1" t="s">
        <v>27</v>
      </c>
      <c r="D29" s="1" t="s">
        <v>38</v>
      </c>
      <c r="E29" s="1">
        <v>5123</v>
      </c>
      <c r="F29" s="1">
        <v>1083</v>
      </c>
      <c r="G29" s="1" t="s">
        <v>29</v>
      </c>
      <c r="H29" s="1" t="s">
        <v>17</v>
      </c>
      <c r="I29" s="1" t="s">
        <v>18</v>
      </c>
      <c r="J29" s="1" t="s">
        <v>41</v>
      </c>
    </row>
    <row r="30" spans="1:10">
      <c r="A30" s="1" t="s">
        <v>13</v>
      </c>
      <c r="B30" s="2">
        <v>43494</v>
      </c>
      <c r="C30" s="1" t="s">
        <v>30</v>
      </c>
      <c r="D30" s="1" t="s">
        <v>39</v>
      </c>
      <c r="E30" s="1">
        <v>1560</v>
      </c>
      <c r="F30" s="1">
        <v>6151</v>
      </c>
      <c r="G30" s="1" t="s">
        <v>32</v>
      </c>
      <c r="H30" s="1" t="s">
        <v>23</v>
      </c>
      <c r="I30" s="1" t="s">
        <v>18</v>
      </c>
      <c r="J30" s="1" t="s">
        <v>33</v>
      </c>
    </row>
    <row r="31" spans="1:10">
      <c r="A31" s="1" t="s">
        <v>13</v>
      </c>
      <c r="B31" s="2">
        <v>43495</v>
      </c>
      <c r="C31" s="1" t="s">
        <v>34</v>
      </c>
      <c r="D31" s="1" t="s">
        <v>40</v>
      </c>
      <c r="E31" s="1">
        <v>1665</v>
      </c>
      <c r="F31" s="1">
        <v>9405</v>
      </c>
      <c r="G31" s="1" t="s">
        <v>36</v>
      </c>
      <c r="H31" s="1" t="s">
        <v>23</v>
      </c>
      <c r="I31" s="1" t="s">
        <v>18</v>
      </c>
      <c r="J31" s="1" t="s">
        <v>41</v>
      </c>
    </row>
    <row r="32" spans="1:10">
      <c r="A32" s="1" t="s">
        <v>13</v>
      </c>
      <c r="B32" s="2">
        <v>43496</v>
      </c>
      <c r="C32" s="1" t="s">
        <v>14</v>
      </c>
      <c r="D32" s="1" t="s">
        <v>15</v>
      </c>
      <c r="E32" s="1">
        <v>2414</v>
      </c>
      <c r="F32" s="1">
        <v>8925</v>
      </c>
      <c r="G32" s="1" t="s">
        <v>16</v>
      </c>
      <c r="H32" s="1" t="s">
        <v>23</v>
      </c>
      <c r="I32" s="1" t="s">
        <v>18</v>
      </c>
      <c r="J32" s="1" t="s">
        <v>33</v>
      </c>
    </row>
    <row r="33" spans="1:10">
      <c r="A33" s="1" t="s">
        <v>13</v>
      </c>
      <c r="B33" s="2">
        <v>43497</v>
      </c>
      <c r="C33" s="1" t="s">
        <v>20</v>
      </c>
      <c r="D33" s="1" t="s">
        <v>21</v>
      </c>
      <c r="E33" s="1">
        <v>9405</v>
      </c>
      <c r="F33" s="1">
        <v>3264</v>
      </c>
      <c r="G33" s="1" t="s">
        <v>22</v>
      </c>
      <c r="H33" s="1" t="s">
        <v>23</v>
      </c>
      <c r="I33" s="1" t="s">
        <v>18</v>
      </c>
      <c r="J33" s="1" t="s">
        <v>41</v>
      </c>
    </row>
    <row r="34" spans="1:10">
      <c r="A34" s="1" t="s">
        <v>13</v>
      </c>
      <c r="B34" s="2">
        <v>43498</v>
      </c>
      <c r="C34" s="1" t="s">
        <v>24</v>
      </c>
      <c r="D34" s="1" t="s">
        <v>25</v>
      </c>
      <c r="E34" s="1">
        <v>9487</v>
      </c>
      <c r="F34" s="1">
        <v>3951</v>
      </c>
      <c r="G34" s="1" t="s">
        <v>26</v>
      </c>
      <c r="H34" s="1" t="s">
        <v>23</v>
      </c>
      <c r="I34" s="1" t="s">
        <v>18</v>
      </c>
      <c r="J34" s="1" t="s">
        <v>33</v>
      </c>
    </row>
    <row r="35" spans="1:10">
      <c r="A35" s="1" t="s">
        <v>13</v>
      </c>
      <c r="B35" s="2">
        <v>43499</v>
      </c>
      <c r="C35" s="1" t="s">
        <v>27</v>
      </c>
      <c r="D35" s="1" t="s">
        <v>28</v>
      </c>
      <c r="E35" s="1">
        <v>4611</v>
      </c>
      <c r="F35" s="1">
        <v>6132</v>
      </c>
      <c r="G35" s="1" t="s">
        <v>29</v>
      </c>
      <c r="H35" s="1" t="s">
        <v>23</v>
      </c>
      <c r="I35" s="1" t="s">
        <v>18</v>
      </c>
      <c r="J35" s="1" t="s">
        <v>19</v>
      </c>
    </row>
    <row r="36" spans="1:10">
      <c r="A36" s="1" t="s">
        <v>13</v>
      </c>
      <c r="B36" s="2">
        <v>43500</v>
      </c>
      <c r="C36" s="1" t="s">
        <v>30</v>
      </c>
      <c r="D36" s="1" t="s">
        <v>31</v>
      </c>
      <c r="E36" s="1">
        <v>3298</v>
      </c>
      <c r="F36" s="1">
        <v>2763</v>
      </c>
      <c r="G36" s="1" t="s">
        <v>32</v>
      </c>
      <c r="H36" s="1" t="s">
        <v>23</v>
      </c>
      <c r="I36" s="1" t="s">
        <v>18</v>
      </c>
      <c r="J36" s="1" t="s">
        <v>19</v>
      </c>
    </row>
    <row r="37" spans="1:10">
      <c r="A37" s="1" t="s">
        <v>13</v>
      </c>
      <c r="B37" s="2">
        <v>43501</v>
      </c>
      <c r="C37" s="1" t="s">
        <v>34</v>
      </c>
      <c r="D37" s="1" t="s">
        <v>35</v>
      </c>
      <c r="E37" s="1">
        <v>1618</v>
      </c>
      <c r="F37" s="1">
        <v>4727</v>
      </c>
      <c r="G37" s="1" t="s">
        <v>36</v>
      </c>
      <c r="H37" s="1" t="s">
        <v>23</v>
      </c>
      <c r="I37" s="1" t="s">
        <v>18</v>
      </c>
      <c r="J37" s="1" t="s">
        <v>19</v>
      </c>
    </row>
    <row r="38" spans="1:10">
      <c r="A38" s="1" t="s">
        <v>13</v>
      </c>
      <c r="B38" s="2">
        <v>43502</v>
      </c>
      <c r="C38" s="1" t="s">
        <v>14</v>
      </c>
      <c r="D38" s="1" t="s">
        <v>37</v>
      </c>
      <c r="E38" s="1">
        <v>9144</v>
      </c>
      <c r="F38" s="1">
        <v>7157</v>
      </c>
      <c r="G38" s="1" t="s">
        <v>16</v>
      </c>
      <c r="H38" s="1" t="s">
        <v>23</v>
      </c>
      <c r="I38" s="1" t="s">
        <v>18</v>
      </c>
      <c r="J38" s="1" t="s">
        <v>19</v>
      </c>
    </row>
    <row r="39" spans="1:10">
      <c r="A39" s="1" t="s">
        <v>13</v>
      </c>
      <c r="B39" s="2">
        <v>43503</v>
      </c>
      <c r="C39" s="1" t="s">
        <v>20</v>
      </c>
      <c r="D39" s="1" t="s">
        <v>38</v>
      </c>
      <c r="E39" s="1">
        <v>7343</v>
      </c>
      <c r="F39" s="1">
        <v>7652</v>
      </c>
      <c r="G39" s="1" t="s">
        <v>22</v>
      </c>
      <c r="H39" s="1" t="s">
        <v>23</v>
      </c>
      <c r="I39" s="1" t="s">
        <v>18</v>
      </c>
      <c r="J39" s="1" t="s">
        <v>19</v>
      </c>
    </row>
    <row r="40" spans="1:10">
      <c r="A40" s="1" t="s">
        <v>13</v>
      </c>
      <c r="B40" s="2">
        <v>43504</v>
      </c>
      <c r="C40" s="1" t="s">
        <v>24</v>
      </c>
      <c r="D40" s="1" t="s">
        <v>39</v>
      </c>
      <c r="E40" s="1">
        <v>8729</v>
      </c>
      <c r="F40" s="1">
        <v>4289</v>
      </c>
      <c r="G40" s="1" t="s">
        <v>26</v>
      </c>
      <c r="H40" s="1" t="s">
        <v>23</v>
      </c>
      <c r="I40" s="1" t="s">
        <v>18</v>
      </c>
      <c r="J40" s="1" t="s">
        <v>33</v>
      </c>
    </row>
    <row r="41" spans="1:10">
      <c r="A41" s="1" t="s">
        <v>13</v>
      </c>
      <c r="B41" s="2">
        <v>43505</v>
      </c>
      <c r="C41" s="1" t="s">
        <v>27</v>
      </c>
      <c r="D41" s="1" t="s">
        <v>40</v>
      </c>
      <c r="E41" s="1">
        <v>7687</v>
      </c>
      <c r="F41" s="1">
        <v>5912</v>
      </c>
      <c r="G41" s="1" t="s">
        <v>29</v>
      </c>
      <c r="H41" s="1" t="s">
        <v>23</v>
      </c>
      <c r="I41" s="1" t="s">
        <v>18</v>
      </c>
      <c r="J41" s="1" t="s">
        <v>33</v>
      </c>
    </row>
    <row r="42" spans="1:10">
      <c r="A42" s="1" t="s">
        <v>13</v>
      </c>
      <c r="B42" s="2">
        <v>43506</v>
      </c>
      <c r="C42" s="1" t="s">
        <v>30</v>
      </c>
      <c r="D42" s="1" t="s">
        <v>15</v>
      </c>
      <c r="E42" s="1">
        <v>5271</v>
      </c>
      <c r="F42" s="1">
        <v>9311</v>
      </c>
      <c r="G42" s="1" t="s">
        <v>32</v>
      </c>
      <c r="H42" s="1" t="s">
        <v>23</v>
      </c>
      <c r="I42" s="1" t="s">
        <v>18</v>
      </c>
      <c r="J42" s="1" t="s">
        <v>41</v>
      </c>
    </row>
    <row r="43" spans="1:10">
      <c r="A43" s="1" t="s">
        <v>13</v>
      </c>
      <c r="B43" s="2">
        <v>43507</v>
      </c>
      <c r="C43" s="1" t="s">
        <v>34</v>
      </c>
      <c r="D43" s="1" t="s">
        <v>21</v>
      </c>
      <c r="E43" s="1">
        <v>9674</v>
      </c>
      <c r="F43" s="1">
        <v>5790</v>
      </c>
      <c r="G43" s="1" t="s">
        <v>36</v>
      </c>
      <c r="H43" s="1" t="s">
        <v>23</v>
      </c>
      <c r="I43" s="1" t="s">
        <v>18</v>
      </c>
      <c r="J43" s="1" t="s">
        <v>33</v>
      </c>
    </row>
    <row r="44" spans="1:10">
      <c r="A44" s="1" t="s">
        <v>13</v>
      </c>
      <c r="B44" s="2">
        <v>43508</v>
      </c>
      <c r="C44" s="1" t="s">
        <v>14</v>
      </c>
      <c r="D44" s="1" t="s">
        <v>25</v>
      </c>
      <c r="E44" s="1">
        <v>9200</v>
      </c>
      <c r="F44" s="1">
        <v>8513</v>
      </c>
      <c r="G44" s="1" t="s">
        <v>16</v>
      </c>
      <c r="H44" s="1" t="s">
        <v>23</v>
      </c>
      <c r="I44" s="1" t="s">
        <v>18</v>
      </c>
      <c r="J44" s="1" t="s">
        <v>33</v>
      </c>
    </row>
    <row r="45" spans="1:10">
      <c r="A45" s="1" t="s">
        <v>13</v>
      </c>
      <c r="B45" s="2">
        <v>43509</v>
      </c>
      <c r="C45" s="1" t="s">
        <v>20</v>
      </c>
      <c r="D45" s="1" t="s">
        <v>28</v>
      </c>
      <c r="E45" s="1">
        <v>4814</v>
      </c>
      <c r="F45" s="1">
        <v>6398</v>
      </c>
      <c r="G45" s="1" t="s">
        <v>22</v>
      </c>
      <c r="H45" s="1" t="s">
        <v>23</v>
      </c>
      <c r="I45" s="1" t="s">
        <v>18</v>
      </c>
      <c r="J45" s="1" t="s">
        <v>41</v>
      </c>
    </row>
    <row r="46" spans="1:10">
      <c r="A46" s="1" t="s">
        <v>13</v>
      </c>
      <c r="B46" s="2">
        <v>43510</v>
      </c>
      <c r="C46" s="1" t="s">
        <v>24</v>
      </c>
      <c r="D46" s="1" t="s">
        <v>31</v>
      </c>
      <c r="E46" s="1">
        <v>3715</v>
      </c>
      <c r="F46" s="1">
        <v>5416</v>
      </c>
      <c r="G46" s="1" t="s">
        <v>26</v>
      </c>
      <c r="H46" s="1" t="s">
        <v>23</v>
      </c>
      <c r="I46" s="1" t="s">
        <v>18</v>
      </c>
      <c r="J46" s="1" t="s">
        <v>33</v>
      </c>
    </row>
    <row r="47" spans="1:10">
      <c r="A47" s="1" t="s">
        <v>13</v>
      </c>
      <c r="B47" s="2">
        <v>43511</v>
      </c>
      <c r="C47" s="1" t="s">
        <v>27</v>
      </c>
      <c r="D47" s="1" t="s">
        <v>35</v>
      </c>
      <c r="E47" s="1">
        <v>9351</v>
      </c>
      <c r="F47" s="1">
        <v>4230</v>
      </c>
      <c r="G47" s="1" t="s">
        <v>29</v>
      </c>
      <c r="H47" s="1" t="s">
        <v>23</v>
      </c>
      <c r="I47" s="1" t="s">
        <v>18</v>
      </c>
      <c r="J47" s="1" t="s">
        <v>41</v>
      </c>
    </row>
    <row r="48" spans="1:10">
      <c r="A48" s="1" t="s">
        <v>13</v>
      </c>
      <c r="B48" s="2">
        <v>43512</v>
      </c>
      <c r="C48" s="1" t="s">
        <v>30</v>
      </c>
      <c r="D48" s="1" t="s">
        <v>37</v>
      </c>
      <c r="E48" s="1">
        <v>3054</v>
      </c>
      <c r="F48" s="1">
        <v>2150</v>
      </c>
      <c r="G48" s="1" t="s">
        <v>32</v>
      </c>
      <c r="H48" s="1" t="s">
        <v>23</v>
      </c>
      <c r="I48" s="1" t="s">
        <v>18</v>
      </c>
      <c r="J48" s="1" t="s">
        <v>41</v>
      </c>
    </row>
    <row r="49" spans="1:10">
      <c r="A49" s="1" t="s">
        <v>13</v>
      </c>
      <c r="B49" s="2">
        <v>43513</v>
      </c>
      <c r="C49" s="1" t="s">
        <v>34</v>
      </c>
      <c r="D49" s="1" t="s">
        <v>38</v>
      </c>
      <c r="E49" s="1">
        <v>7590</v>
      </c>
      <c r="F49" s="1">
        <v>4904</v>
      </c>
      <c r="G49" s="1" t="s">
        <v>36</v>
      </c>
      <c r="H49" s="1" t="s">
        <v>23</v>
      </c>
      <c r="I49" s="1" t="s">
        <v>18</v>
      </c>
      <c r="J49" s="1" t="s">
        <v>42</v>
      </c>
    </row>
    <row r="50" spans="1:10">
      <c r="A50" s="1" t="s">
        <v>13</v>
      </c>
      <c r="B50" s="2">
        <v>43514</v>
      </c>
      <c r="C50" s="1" t="s">
        <v>14</v>
      </c>
      <c r="D50" s="1" t="s">
        <v>39</v>
      </c>
      <c r="E50" s="1">
        <v>5788</v>
      </c>
      <c r="F50" s="1">
        <v>6365</v>
      </c>
      <c r="G50" s="1" t="s">
        <v>16</v>
      </c>
      <c r="H50" s="1" t="s">
        <v>23</v>
      </c>
      <c r="I50" s="1" t="s">
        <v>18</v>
      </c>
      <c r="J50" s="1" t="s">
        <v>42</v>
      </c>
    </row>
    <row r="51" spans="1:10">
      <c r="A51" s="1" t="s">
        <v>13</v>
      </c>
      <c r="B51" s="2">
        <v>43515</v>
      </c>
      <c r="C51" s="1" t="s">
        <v>20</v>
      </c>
      <c r="D51" s="1" t="s">
        <v>40</v>
      </c>
      <c r="E51" s="1">
        <v>3911</v>
      </c>
      <c r="F51" s="1">
        <v>5233</v>
      </c>
      <c r="G51" s="1" t="s">
        <v>22</v>
      </c>
      <c r="H51" s="1" t="s">
        <v>17</v>
      </c>
      <c r="I51" s="1" t="s">
        <v>18</v>
      </c>
      <c r="J51" s="1" t="s">
        <v>33</v>
      </c>
    </row>
    <row r="52" spans="1:10">
      <c r="A52" s="1" t="s">
        <v>13</v>
      </c>
      <c r="B52" s="2">
        <v>43516</v>
      </c>
      <c r="C52" s="1" t="s">
        <v>24</v>
      </c>
      <c r="D52" s="1" t="s">
        <v>15</v>
      </c>
      <c r="E52" s="1">
        <v>4824</v>
      </c>
      <c r="F52" s="1">
        <v>7636</v>
      </c>
      <c r="G52" s="1" t="s">
        <v>26</v>
      </c>
      <c r="H52" s="1" t="s">
        <v>17</v>
      </c>
      <c r="I52" s="1" t="s">
        <v>18</v>
      </c>
      <c r="J52" s="1" t="s">
        <v>41</v>
      </c>
    </row>
    <row r="53" spans="1:10">
      <c r="A53" s="1" t="s">
        <v>13</v>
      </c>
      <c r="B53" s="2">
        <v>43517</v>
      </c>
      <c r="C53" s="1" t="s">
        <v>27</v>
      </c>
      <c r="D53" s="1" t="s">
        <v>21</v>
      </c>
      <c r="E53" s="1">
        <v>5642</v>
      </c>
      <c r="F53" s="1">
        <v>3314</v>
      </c>
      <c r="G53" s="1" t="s">
        <v>29</v>
      </c>
      <c r="H53" s="1" t="s">
        <v>17</v>
      </c>
      <c r="I53" s="1" t="s">
        <v>18</v>
      </c>
      <c r="J53" s="1" t="s">
        <v>42</v>
      </c>
    </row>
    <row r="54" spans="1:10">
      <c r="A54" s="1" t="s">
        <v>13</v>
      </c>
      <c r="B54" s="2">
        <v>43518</v>
      </c>
      <c r="C54" s="1" t="s">
        <v>30</v>
      </c>
      <c r="D54" s="1" t="s">
        <v>25</v>
      </c>
      <c r="E54" s="1">
        <v>3253</v>
      </c>
      <c r="F54" s="1">
        <v>3611</v>
      </c>
      <c r="G54" s="1" t="s">
        <v>32</v>
      </c>
      <c r="H54" s="1" t="s">
        <v>17</v>
      </c>
      <c r="I54" s="1" t="s">
        <v>18</v>
      </c>
      <c r="J54" s="1" t="s">
        <v>41</v>
      </c>
    </row>
    <row r="55" spans="1:10">
      <c r="A55" s="1" t="s">
        <v>13</v>
      </c>
      <c r="B55" s="2">
        <v>43519</v>
      </c>
      <c r="C55" s="1" t="s">
        <v>34</v>
      </c>
      <c r="D55" s="1" t="s">
        <v>28</v>
      </c>
      <c r="E55" s="1">
        <v>8725</v>
      </c>
      <c r="F55" s="1">
        <v>5174</v>
      </c>
      <c r="G55" s="1" t="s">
        <v>36</v>
      </c>
      <c r="H55" s="1" t="s">
        <v>23</v>
      </c>
      <c r="I55" s="1" t="s">
        <v>18</v>
      </c>
      <c r="J55" s="1" t="s">
        <v>19</v>
      </c>
    </row>
    <row r="56" spans="1:10">
      <c r="A56" s="1" t="s">
        <v>13</v>
      </c>
      <c r="B56" s="2">
        <v>43520</v>
      </c>
      <c r="C56" s="1" t="s">
        <v>14</v>
      </c>
      <c r="D56" s="1" t="s">
        <v>31</v>
      </c>
      <c r="E56" s="1">
        <v>1086</v>
      </c>
      <c r="F56" s="1">
        <v>6916</v>
      </c>
      <c r="G56" s="1" t="s">
        <v>16</v>
      </c>
      <c r="H56" s="1" t="s">
        <v>17</v>
      </c>
      <c r="I56" s="1" t="s">
        <v>18</v>
      </c>
      <c r="J56" s="1" t="s">
        <v>19</v>
      </c>
    </row>
    <row r="57" spans="1:10">
      <c r="A57" s="1" t="s">
        <v>13</v>
      </c>
      <c r="B57" s="2">
        <v>43521</v>
      </c>
      <c r="C57" s="1" t="s">
        <v>20</v>
      </c>
      <c r="D57" s="1" t="s">
        <v>35</v>
      </c>
      <c r="E57" s="1">
        <v>3789</v>
      </c>
      <c r="F57" s="1">
        <v>3418</v>
      </c>
      <c r="G57" s="1" t="s">
        <v>22</v>
      </c>
      <c r="H57" s="1" t="s">
        <v>17</v>
      </c>
      <c r="I57" s="1" t="s">
        <v>18</v>
      </c>
      <c r="J57" s="1" t="s">
        <v>19</v>
      </c>
    </row>
    <row r="58" spans="1:10">
      <c r="A58" s="1" t="s">
        <v>13</v>
      </c>
      <c r="B58" s="2">
        <v>43522</v>
      </c>
      <c r="C58" s="1" t="s">
        <v>24</v>
      </c>
      <c r="D58" s="1" t="s">
        <v>37</v>
      </c>
      <c r="E58" s="1">
        <v>8038</v>
      </c>
      <c r="F58" s="1">
        <v>5157</v>
      </c>
      <c r="G58" s="1" t="s">
        <v>26</v>
      </c>
      <c r="H58" s="1" t="s">
        <v>17</v>
      </c>
      <c r="I58" s="1" t="s">
        <v>18</v>
      </c>
      <c r="J58" s="1" t="s">
        <v>19</v>
      </c>
    </row>
    <row r="59" spans="1:10">
      <c r="A59" s="1" t="s">
        <v>13</v>
      </c>
      <c r="B59" s="2">
        <v>43523</v>
      </c>
      <c r="C59" s="1" t="s">
        <v>27</v>
      </c>
      <c r="D59" s="1" t="s">
        <v>38</v>
      </c>
      <c r="E59" s="1">
        <v>5666</v>
      </c>
      <c r="F59" s="1">
        <v>4259</v>
      </c>
      <c r="G59" s="1" t="s">
        <v>29</v>
      </c>
      <c r="H59" s="1" t="s">
        <v>17</v>
      </c>
      <c r="I59" s="1" t="s">
        <v>18</v>
      </c>
      <c r="J59" s="1" t="s">
        <v>19</v>
      </c>
    </row>
    <row r="60" spans="1:10">
      <c r="A60" s="1" t="s">
        <v>13</v>
      </c>
      <c r="B60" s="2">
        <v>43524</v>
      </c>
      <c r="C60" s="1" t="s">
        <v>30</v>
      </c>
      <c r="D60" s="1" t="s">
        <v>39</v>
      </c>
      <c r="E60" s="1">
        <v>2189</v>
      </c>
      <c r="F60" s="1">
        <v>9185</v>
      </c>
      <c r="G60" s="1" t="s">
        <v>32</v>
      </c>
      <c r="H60" s="1" t="s">
        <v>17</v>
      </c>
      <c r="I60" s="1" t="s">
        <v>18</v>
      </c>
      <c r="J60" s="1" t="s">
        <v>19</v>
      </c>
    </row>
    <row r="61" spans="1:10">
      <c r="A61" s="1" t="s">
        <v>13</v>
      </c>
      <c r="B61" s="2">
        <v>43525</v>
      </c>
      <c r="C61" s="1" t="s">
        <v>34</v>
      </c>
      <c r="D61" s="1" t="s">
        <v>40</v>
      </c>
      <c r="E61" s="1">
        <v>7349</v>
      </c>
      <c r="F61" s="1">
        <v>7745</v>
      </c>
      <c r="G61" s="1" t="s">
        <v>36</v>
      </c>
      <c r="H61" s="1" t="s">
        <v>17</v>
      </c>
      <c r="I61" s="1" t="s">
        <v>18</v>
      </c>
      <c r="J61" s="1" t="s">
        <v>41</v>
      </c>
    </row>
    <row r="62" spans="1:10">
      <c r="A62" s="1" t="s">
        <v>13</v>
      </c>
      <c r="B62" s="2">
        <v>43526</v>
      </c>
      <c r="C62" s="1" t="s">
        <v>14</v>
      </c>
      <c r="D62" s="1" t="s">
        <v>15</v>
      </c>
      <c r="E62" s="1">
        <v>2199</v>
      </c>
      <c r="F62" s="1">
        <v>6401</v>
      </c>
      <c r="G62" s="1" t="s">
        <v>16</v>
      </c>
      <c r="H62" s="1" t="s">
        <v>23</v>
      </c>
      <c r="I62" s="1" t="s">
        <v>18</v>
      </c>
      <c r="J62" s="1" t="s">
        <v>41</v>
      </c>
    </row>
    <row r="63" spans="1:10">
      <c r="A63" s="1" t="s">
        <v>13</v>
      </c>
      <c r="B63" s="2">
        <v>43527</v>
      </c>
      <c r="C63" s="1" t="s">
        <v>20</v>
      </c>
      <c r="D63" s="1" t="s">
        <v>21</v>
      </c>
      <c r="E63" s="1">
        <v>9391</v>
      </c>
      <c r="F63" s="1">
        <v>3640</v>
      </c>
      <c r="G63" s="1" t="s">
        <v>22</v>
      </c>
      <c r="H63" s="1" t="s">
        <v>23</v>
      </c>
      <c r="I63" s="1" t="s">
        <v>18</v>
      </c>
      <c r="J63" s="1" t="s">
        <v>42</v>
      </c>
    </row>
    <row r="64" spans="1:10">
      <c r="A64" s="1" t="s">
        <v>13</v>
      </c>
      <c r="B64" s="2">
        <v>43528</v>
      </c>
      <c r="C64" s="1" t="s">
        <v>24</v>
      </c>
      <c r="D64" s="1" t="s">
        <v>25</v>
      </c>
      <c r="E64" s="1">
        <v>4941</v>
      </c>
      <c r="F64" s="1">
        <v>2877</v>
      </c>
      <c r="G64" s="1" t="s">
        <v>26</v>
      </c>
      <c r="H64" s="1" t="s">
        <v>23</v>
      </c>
      <c r="I64" s="1" t="s">
        <v>18</v>
      </c>
      <c r="J64" s="1" t="s">
        <v>41</v>
      </c>
    </row>
    <row r="65" spans="1:10">
      <c r="A65" s="1" t="s">
        <v>13</v>
      </c>
      <c r="B65" s="2">
        <v>43529</v>
      </c>
      <c r="C65" s="1" t="s">
        <v>27</v>
      </c>
      <c r="D65" s="1" t="s">
        <v>28</v>
      </c>
      <c r="E65" s="1">
        <v>1473</v>
      </c>
      <c r="F65" s="1">
        <v>5880</v>
      </c>
      <c r="G65" s="1" t="s">
        <v>29</v>
      </c>
      <c r="H65" s="1" t="s">
        <v>23</v>
      </c>
      <c r="I65" s="1" t="s">
        <v>18</v>
      </c>
      <c r="J65" s="1" t="s">
        <v>42</v>
      </c>
    </row>
    <row r="66" spans="1:10">
      <c r="A66" s="1" t="s">
        <v>13</v>
      </c>
      <c r="B66" s="2">
        <v>43530</v>
      </c>
      <c r="C66" s="1" t="s">
        <v>30</v>
      </c>
      <c r="D66" s="1" t="s">
        <v>31</v>
      </c>
      <c r="E66" s="1">
        <v>9213</v>
      </c>
      <c r="F66" s="1">
        <v>3705</v>
      </c>
      <c r="G66" s="1" t="s">
        <v>32</v>
      </c>
      <c r="H66" s="1" t="s">
        <v>23</v>
      </c>
      <c r="I66" s="1" t="s">
        <v>18</v>
      </c>
      <c r="J66" s="1" t="s">
        <v>42</v>
      </c>
    </row>
    <row r="67" spans="1:10">
      <c r="A67" s="1" t="s">
        <v>13</v>
      </c>
      <c r="B67" s="2">
        <v>43531</v>
      </c>
      <c r="C67" s="1" t="s">
        <v>34</v>
      </c>
      <c r="D67" s="1" t="s">
        <v>35</v>
      </c>
      <c r="E67" s="1">
        <v>8440</v>
      </c>
      <c r="F67" s="1">
        <v>3711</v>
      </c>
      <c r="G67" s="1" t="s">
        <v>36</v>
      </c>
      <c r="H67" s="1" t="s">
        <v>23</v>
      </c>
      <c r="I67" s="1" t="s">
        <v>18</v>
      </c>
      <c r="J67" s="1" t="s">
        <v>42</v>
      </c>
    </row>
    <row r="68" spans="1:10">
      <c r="A68" s="1" t="s">
        <v>13</v>
      </c>
      <c r="B68" s="2">
        <v>43532</v>
      </c>
      <c r="C68" s="1" t="s">
        <v>14</v>
      </c>
      <c r="D68" s="1" t="s">
        <v>37</v>
      </c>
      <c r="E68" s="1">
        <v>1037</v>
      </c>
      <c r="F68" s="1">
        <v>6125</v>
      </c>
      <c r="G68" s="1" t="s">
        <v>16</v>
      </c>
      <c r="H68" s="1" t="s">
        <v>23</v>
      </c>
      <c r="I68" s="1" t="s">
        <v>18</v>
      </c>
      <c r="J68" s="1" t="s">
        <v>42</v>
      </c>
    </row>
    <row r="69" spans="1:10">
      <c r="A69" s="1" t="s">
        <v>13</v>
      </c>
      <c r="B69" s="2">
        <v>43533</v>
      </c>
      <c r="C69" s="1" t="s">
        <v>20</v>
      </c>
      <c r="D69" s="1" t="s">
        <v>38</v>
      </c>
      <c r="E69" s="1">
        <v>5757</v>
      </c>
      <c r="F69" s="1">
        <v>7867</v>
      </c>
      <c r="G69" s="1" t="s">
        <v>22</v>
      </c>
      <c r="H69" s="1" t="s">
        <v>23</v>
      </c>
      <c r="I69" s="1" t="s">
        <v>18</v>
      </c>
      <c r="J69" s="1" t="s">
        <v>42</v>
      </c>
    </row>
    <row r="70" spans="1:10">
      <c r="A70" s="1" t="s">
        <v>13</v>
      </c>
      <c r="B70" s="2">
        <v>43534</v>
      </c>
      <c r="C70" s="1" t="s">
        <v>24</v>
      </c>
      <c r="D70" s="1" t="s">
        <v>39</v>
      </c>
      <c r="E70" s="1">
        <v>3591</v>
      </c>
      <c r="F70" s="1">
        <v>6774</v>
      </c>
      <c r="G70" s="1" t="s">
        <v>26</v>
      </c>
      <c r="H70" s="1" t="s">
        <v>23</v>
      </c>
      <c r="I70" s="1" t="s">
        <v>18</v>
      </c>
      <c r="J70" s="1" t="s">
        <v>41</v>
      </c>
    </row>
    <row r="71" spans="1:10">
      <c r="A71" s="1" t="s">
        <v>13</v>
      </c>
      <c r="B71" s="2">
        <v>43535</v>
      </c>
      <c r="C71" s="1" t="s">
        <v>27</v>
      </c>
      <c r="D71" s="1" t="s">
        <v>40</v>
      </c>
      <c r="E71" s="1">
        <v>1331</v>
      </c>
      <c r="F71" s="1">
        <v>5856</v>
      </c>
      <c r="G71" s="1" t="s">
        <v>29</v>
      </c>
      <c r="H71" s="1" t="s">
        <v>23</v>
      </c>
      <c r="I71" s="1" t="s">
        <v>18</v>
      </c>
      <c r="J71" s="1" t="s">
        <v>41</v>
      </c>
    </row>
    <row r="72" spans="1:10">
      <c r="A72" s="1" t="s">
        <v>13</v>
      </c>
      <c r="B72" s="2">
        <v>43536</v>
      </c>
      <c r="C72" s="1" t="s">
        <v>30</v>
      </c>
      <c r="D72" s="1" t="s">
        <v>15</v>
      </c>
      <c r="E72" s="1">
        <v>5767</v>
      </c>
      <c r="F72" s="1">
        <v>5790</v>
      </c>
      <c r="G72" s="1" t="s">
        <v>32</v>
      </c>
      <c r="H72" s="1" t="s">
        <v>17</v>
      </c>
      <c r="I72" s="1" t="s">
        <v>18</v>
      </c>
      <c r="J72" s="1" t="s">
        <v>41</v>
      </c>
    </row>
    <row r="73" spans="1:10">
      <c r="A73" s="1" t="s">
        <v>13</v>
      </c>
      <c r="B73" s="2">
        <v>43537</v>
      </c>
      <c r="C73" s="1" t="s">
        <v>34</v>
      </c>
      <c r="D73" s="1" t="s">
        <v>21</v>
      </c>
      <c r="E73" s="1">
        <v>2925</v>
      </c>
      <c r="F73" s="1">
        <v>4477</v>
      </c>
      <c r="G73" s="1" t="s">
        <v>36</v>
      </c>
      <c r="H73" s="1" t="s">
        <v>17</v>
      </c>
      <c r="I73" s="1" t="s">
        <v>18</v>
      </c>
      <c r="J73" s="1" t="s">
        <v>41</v>
      </c>
    </row>
    <row r="74" spans="1:10">
      <c r="A74" s="1" t="s">
        <v>13</v>
      </c>
      <c r="B74" s="2">
        <v>43538</v>
      </c>
      <c r="C74" s="1" t="s">
        <v>14</v>
      </c>
      <c r="D74" s="1" t="s">
        <v>25</v>
      </c>
      <c r="E74" s="1">
        <v>5961</v>
      </c>
      <c r="F74" s="1">
        <v>2555</v>
      </c>
      <c r="G74" s="1" t="s">
        <v>16</v>
      </c>
      <c r="H74" s="1" t="s">
        <v>17</v>
      </c>
      <c r="I74" s="1" t="s">
        <v>18</v>
      </c>
      <c r="J74" s="1" t="s">
        <v>41</v>
      </c>
    </row>
    <row r="75" spans="1:10">
      <c r="A75" s="1" t="s">
        <v>13</v>
      </c>
      <c r="B75" s="2">
        <v>43539</v>
      </c>
      <c r="C75" s="1" t="s">
        <v>20</v>
      </c>
      <c r="D75" s="1" t="s">
        <v>28</v>
      </c>
      <c r="E75" s="1">
        <v>8341</v>
      </c>
      <c r="F75" s="1">
        <v>3201</v>
      </c>
      <c r="G75" s="1" t="s">
        <v>22</v>
      </c>
      <c r="H75" s="1" t="s">
        <v>17</v>
      </c>
      <c r="I75" s="1" t="s">
        <v>18</v>
      </c>
      <c r="J75" s="1" t="s">
        <v>41</v>
      </c>
    </row>
    <row r="76" spans="1:10">
      <c r="A76" s="1" t="s">
        <v>13</v>
      </c>
      <c r="B76" s="2">
        <v>43540</v>
      </c>
      <c r="C76" s="1" t="s">
        <v>24</v>
      </c>
      <c r="D76" s="1" t="s">
        <v>31</v>
      </c>
      <c r="E76" s="1">
        <v>7059</v>
      </c>
      <c r="F76" s="1">
        <v>3420</v>
      </c>
      <c r="G76" s="1" t="s">
        <v>26</v>
      </c>
      <c r="H76" s="1" t="s">
        <v>17</v>
      </c>
      <c r="I76" s="1" t="s">
        <v>18</v>
      </c>
      <c r="J76" s="1" t="s">
        <v>42</v>
      </c>
    </row>
    <row r="77" spans="1:10">
      <c r="A77" s="1" t="s">
        <v>13</v>
      </c>
      <c r="B77" s="2">
        <v>43541</v>
      </c>
      <c r="C77" s="1" t="s">
        <v>27</v>
      </c>
      <c r="D77" s="1" t="s">
        <v>35</v>
      </c>
      <c r="E77" s="1">
        <v>2142</v>
      </c>
      <c r="F77" s="1">
        <v>9178</v>
      </c>
      <c r="G77" s="1" t="s">
        <v>29</v>
      </c>
      <c r="H77" s="1" t="s">
        <v>17</v>
      </c>
      <c r="I77" s="1" t="s">
        <v>18</v>
      </c>
      <c r="J77" s="1" t="s">
        <v>42</v>
      </c>
    </row>
    <row r="78" spans="1:10">
      <c r="A78" s="1" t="s">
        <v>13</v>
      </c>
      <c r="B78" s="2">
        <v>43542</v>
      </c>
      <c r="C78" s="1" t="s">
        <v>30</v>
      </c>
      <c r="D78" s="1" t="s">
        <v>37</v>
      </c>
      <c r="E78" s="1">
        <v>5729</v>
      </c>
      <c r="F78" s="1">
        <v>4033</v>
      </c>
      <c r="G78" s="1" t="s">
        <v>32</v>
      </c>
      <c r="H78" s="1" t="s">
        <v>17</v>
      </c>
      <c r="I78" s="1" t="s">
        <v>18</v>
      </c>
      <c r="J78" s="1" t="s">
        <v>42</v>
      </c>
    </row>
    <row r="79" spans="1:10">
      <c r="A79" s="1" t="s">
        <v>13</v>
      </c>
      <c r="B79" s="2">
        <v>43543</v>
      </c>
      <c r="C79" s="1" t="s">
        <v>34</v>
      </c>
      <c r="D79" s="1" t="s">
        <v>38</v>
      </c>
      <c r="E79" s="1">
        <v>4804</v>
      </c>
      <c r="F79" s="1">
        <v>1756</v>
      </c>
      <c r="G79" s="1" t="s">
        <v>36</v>
      </c>
      <c r="H79" s="1" t="s">
        <v>17</v>
      </c>
      <c r="I79" s="1" t="s">
        <v>18</v>
      </c>
      <c r="J79" s="1" t="s">
        <v>42</v>
      </c>
    </row>
    <row r="80" spans="1:10">
      <c r="A80" s="1" t="s">
        <v>13</v>
      </c>
      <c r="B80" s="2">
        <v>43544</v>
      </c>
      <c r="C80" s="1" t="s">
        <v>14</v>
      </c>
      <c r="D80" s="1" t="s">
        <v>39</v>
      </c>
      <c r="E80" s="1">
        <v>2891</v>
      </c>
      <c r="F80" s="1">
        <v>4372</v>
      </c>
      <c r="G80" s="1" t="s">
        <v>16</v>
      </c>
      <c r="H80" s="1" t="s">
        <v>17</v>
      </c>
      <c r="I80" s="1" t="s">
        <v>18</v>
      </c>
      <c r="J80" s="1" t="s">
        <v>19</v>
      </c>
    </row>
    <row r="81" spans="1:10">
      <c r="A81" s="1" t="s">
        <v>13</v>
      </c>
      <c r="B81" s="2">
        <v>43545</v>
      </c>
      <c r="C81" s="1" t="s">
        <v>20</v>
      </c>
      <c r="D81" s="1" t="s">
        <v>40</v>
      </c>
      <c r="E81" s="1">
        <v>5040</v>
      </c>
      <c r="F81" s="1">
        <v>9289</v>
      </c>
      <c r="G81" s="1" t="s">
        <v>22</v>
      </c>
      <c r="H81" s="1" t="s">
        <v>17</v>
      </c>
      <c r="I81" s="1" t="s">
        <v>18</v>
      </c>
      <c r="J81" s="1" t="s">
        <v>19</v>
      </c>
    </row>
    <row r="82" spans="1:10">
      <c r="A82" s="1" t="s">
        <v>13</v>
      </c>
      <c r="B82" s="2">
        <v>43546</v>
      </c>
      <c r="C82" s="1" t="s">
        <v>24</v>
      </c>
      <c r="D82" s="1" t="s">
        <v>15</v>
      </c>
      <c r="E82" s="1">
        <v>7963</v>
      </c>
      <c r="F82" s="1">
        <v>6193</v>
      </c>
      <c r="G82" s="1" t="s">
        <v>26</v>
      </c>
      <c r="H82" s="1" t="s">
        <v>17</v>
      </c>
      <c r="I82" s="1" t="s">
        <v>18</v>
      </c>
      <c r="J82" s="1" t="s">
        <v>19</v>
      </c>
    </row>
    <row r="83" spans="1:10">
      <c r="A83" s="1" t="s">
        <v>13</v>
      </c>
      <c r="B83" s="2">
        <v>43547</v>
      </c>
      <c r="C83" s="1" t="s">
        <v>27</v>
      </c>
      <c r="D83" s="1" t="s">
        <v>21</v>
      </c>
      <c r="E83" s="1">
        <v>5456</v>
      </c>
      <c r="F83" s="1">
        <v>4033</v>
      </c>
      <c r="G83" s="1" t="s">
        <v>29</v>
      </c>
      <c r="H83" s="1" t="s">
        <v>17</v>
      </c>
      <c r="I83" s="1" t="s">
        <v>18</v>
      </c>
      <c r="J83" s="1" t="s">
        <v>42</v>
      </c>
    </row>
    <row r="84" spans="1:10">
      <c r="A84" s="1" t="s">
        <v>13</v>
      </c>
      <c r="B84" s="2">
        <v>43548</v>
      </c>
      <c r="C84" s="1" t="s">
        <v>30</v>
      </c>
      <c r="D84" s="1" t="s">
        <v>25</v>
      </c>
      <c r="E84" s="1">
        <v>9187</v>
      </c>
      <c r="F84" s="1">
        <v>6073</v>
      </c>
      <c r="G84" s="1" t="s">
        <v>32</v>
      </c>
      <c r="H84" s="1" t="s">
        <v>17</v>
      </c>
      <c r="I84" s="1" t="s">
        <v>18</v>
      </c>
      <c r="J84" s="1" t="s">
        <v>42</v>
      </c>
    </row>
    <row r="85" spans="1:10">
      <c r="A85" s="1" t="s">
        <v>13</v>
      </c>
      <c r="B85" s="2">
        <v>43549</v>
      </c>
      <c r="C85" s="1" t="s">
        <v>34</v>
      </c>
      <c r="D85" s="1" t="s">
        <v>28</v>
      </c>
      <c r="E85" s="1">
        <v>8519</v>
      </c>
      <c r="F85" s="1">
        <v>4147</v>
      </c>
      <c r="G85" s="1" t="s">
        <v>36</v>
      </c>
      <c r="H85" s="1" t="s">
        <v>23</v>
      </c>
      <c r="I85" s="1" t="s">
        <v>18</v>
      </c>
      <c r="J85" s="1" t="s">
        <v>42</v>
      </c>
    </row>
    <row r="86" spans="1:10">
      <c r="A86" s="1" t="s">
        <v>13</v>
      </c>
      <c r="B86" s="2">
        <v>43550</v>
      </c>
      <c r="C86" s="1" t="s">
        <v>14</v>
      </c>
      <c r="D86" s="1" t="s">
        <v>31</v>
      </c>
      <c r="E86" s="1">
        <v>4691</v>
      </c>
      <c r="F86" s="1">
        <v>6047</v>
      </c>
      <c r="G86" s="1" t="s">
        <v>16</v>
      </c>
      <c r="H86" s="1" t="s">
        <v>23</v>
      </c>
      <c r="I86" s="1" t="s">
        <v>18</v>
      </c>
      <c r="J86" s="1" t="s">
        <v>42</v>
      </c>
    </row>
    <row r="87" spans="1:10">
      <c r="A87" s="1" t="s">
        <v>13</v>
      </c>
      <c r="B87" s="2">
        <v>43551</v>
      </c>
      <c r="C87" s="1" t="s">
        <v>20</v>
      </c>
      <c r="D87" s="1" t="s">
        <v>35</v>
      </c>
      <c r="E87" s="1">
        <v>5273</v>
      </c>
      <c r="F87" s="1">
        <v>3451</v>
      </c>
      <c r="G87" s="1" t="s">
        <v>22</v>
      </c>
      <c r="H87" s="1" t="s">
        <v>23</v>
      </c>
      <c r="I87" s="1" t="s">
        <v>18</v>
      </c>
      <c r="J87" s="1" t="s">
        <v>41</v>
      </c>
    </row>
    <row r="88" spans="1:10">
      <c r="A88" s="1" t="s">
        <v>13</v>
      </c>
      <c r="B88" s="2">
        <v>43552</v>
      </c>
      <c r="C88" s="1" t="s">
        <v>24</v>
      </c>
      <c r="D88" s="1" t="s">
        <v>37</v>
      </c>
      <c r="E88" s="1">
        <v>6448</v>
      </c>
      <c r="F88" s="1">
        <v>9532</v>
      </c>
      <c r="G88" s="1" t="s">
        <v>26</v>
      </c>
      <c r="H88" s="1" t="s">
        <v>23</v>
      </c>
      <c r="I88" s="1" t="s">
        <v>18</v>
      </c>
      <c r="J88" s="1" t="s">
        <v>41</v>
      </c>
    </row>
    <row r="89" spans="1:10">
      <c r="A89" s="1" t="s">
        <v>13</v>
      </c>
      <c r="B89" s="2">
        <v>43553</v>
      </c>
      <c r="C89" s="1" t="s">
        <v>27</v>
      </c>
      <c r="D89" s="1" t="s">
        <v>38</v>
      </c>
      <c r="E89" s="1">
        <v>2174</v>
      </c>
      <c r="F89" s="1">
        <v>7603</v>
      </c>
      <c r="G89" s="1" t="s">
        <v>29</v>
      </c>
      <c r="H89" s="1" t="s">
        <v>23</v>
      </c>
      <c r="I89" s="1" t="s">
        <v>18</v>
      </c>
      <c r="J89" s="1" t="s">
        <v>41</v>
      </c>
    </row>
    <row r="90" spans="1:10">
      <c r="A90" s="1" t="s">
        <v>13</v>
      </c>
      <c r="B90" s="2">
        <v>43554</v>
      </c>
      <c r="C90" s="1" t="s">
        <v>30</v>
      </c>
      <c r="D90" s="1" t="s">
        <v>39</v>
      </c>
      <c r="E90" s="1">
        <v>5387</v>
      </c>
      <c r="F90" s="1">
        <v>7945</v>
      </c>
      <c r="G90" s="1" t="s">
        <v>32</v>
      </c>
      <c r="H90" s="1" t="s">
        <v>23</v>
      </c>
      <c r="I90" s="1" t="s">
        <v>18</v>
      </c>
      <c r="J90" s="1" t="s">
        <v>33</v>
      </c>
    </row>
    <row r="91" spans="1:10">
      <c r="A91" s="1" t="s">
        <v>13</v>
      </c>
      <c r="B91" s="2">
        <v>43555</v>
      </c>
      <c r="C91" s="1" t="s">
        <v>34</v>
      </c>
      <c r="D91" s="1" t="s">
        <v>40</v>
      </c>
      <c r="E91" s="1">
        <v>4680</v>
      </c>
      <c r="F91" s="1">
        <v>7836</v>
      </c>
      <c r="G91" s="1" t="s">
        <v>36</v>
      </c>
      <c r="H91" s="1" t="s">
        <v>23</v>
      </c>
      <c r="I91" s="1" t="s">
        <v>18</v>
      </c>
      <c r="J91" s="1" t="s">
        <v>33</v>
      </c>
    </row>
    <row r="92" spans="1:10">
      <c r="A92" s="1" t="s">
        <v>13</v>
      </c>
      <c r="B92" s="2">
        <v>43556</v>
      </c>
      <c r="C92" s="1" t="s">
        <v>14</v>
      </c>
      <c r="D92" s="1" t="s">
        <v>15</v>
      </c>
      <c r="E92" s="1">
        <v>8844</v>
      </c>
      <c r="F92" s="1">
        <v>2698</v>
      </c>
      <c r="G92" s="1" t="s">
        <v>16</v>
      </c>
      <c r="H92" s="1" t="s">
        <v>23</v>
      </c>
      <c r="I92" s="1" t="s">
        <v>18</v>
      </c>
      <c r="J92" s="1" t="s">
        <v>33</v>
      </c>
    </row>
    <row r="93" spans="1:10">
      <c r="A93" s="1" t="s">
        <v>13</v>
      </c>
      <c r="B93" s="2">
        <v>43557</v>
      </c>
      <c r="C93" s="1" t="s">
        <v>20</v>
      </c>
      <c r="D93" s="1" t="s">
        <v>21</v>
      </c>
      <c r="E93" s="1">
        <v>7508</v>
      </c>
      <c r="F93" s="1">
        <v>2285</v>
      </c>
      <c r="G93" s="1" t="s">
        <v>22</v>
      </c>
      <c r="H93" s="1" t="s">
        <v>23</v>
      </c>
      <c r="I93" s="1" t="s">
        <v>18</v>
      </c>
      <c r="J93" s="1" t="s">
        <v>33</v>
      </c>
    </row>
    <row r="94" spans="1:10">
      <c r="A94" s="1" t="s">
        <v>13</v>
      </c>
      <c r="B94" s="2">
        <v>43558</v>
      </c>
      <c r="C94" s="1" t="s">
        <v>24</v>
      </c>
      <c r="D94" s="1" t="s">
        <v>25</v>
      </c>
      <c r="E94" s="1">
        <v>3941</v>
      </c>
      <c r="F94" s="1">
        <v>9251</v>
      </c>
      <c r="G94" s="1" t="s">
        <v>26</v>
      </c>
      <c r="H94" s="1" t="s">
        <v>23</v>
      </c>
      <c r="I94" s="1" t="s">
        <v>18</v>
      </c>
      <c r="J94" s="1" t="s">
        <v>42</v>
      </c>
    </row>
    <row r="95" spans="1:10">
      <c r="A95" s="1" t="s">
        <v>13</v>
      </c>
      <c r="B95" s="2">
        <v>43559</v>
      </c>
      <c r="C95" s="1" t="s">
        <v>27</v>
      </c>
      <c r="D95" s="1" t="s">
        <v>28</v>
      </c>
      <c r="E95" s="1">
        <v>2692</v>
      </c>
      <c r="F95" s="1">
        <v>6943</v>
      </c>
      <c r="G95" s="1" t="s">
        <v>29</v>
      </c>
      <c r="H95" s="1" t="s">
        <v>23</v>
      </c>
      <c r="I95" s="1" t="s">
        <v>18</v>
      </c>
      <c r="J95" s="1" t="s">
        <v>42</v>
      </c>
    </row>
    <row r="96" spans="1:10">
      <c r="A96" s="1" t="s">
        <v>13</v>
      </c>
      <c r="B96" s="2">
        <v>43560</v>
      </c>
      <c r="C96" s="1" t="s">
        <v>30</v>
      </c>
      <c r="D96" s="1" t="s">
        <v>31</v>
      </c>
      <c r="E96" s="1">
        <v>9783</v>
      </c>
      <c r="F96" s="1">
        <v>8183</v>
      </c>
      <c r="G96" s="1" t="s">
        <v>32</v>
      </c>
      <c r="H96" s="1" t="s">
        <v>17</v>
      </c>
      <c r="I96" s="1" t="s">
        <v>18</v>
      </c>
      <c r="J96" s="1" t="s">
        <v>33</v>
      </c>
    </row>
    <row r="97" spans="1:10">
      <c r="A97" s="1" t="s">
        <v>13</v>
      </c>
      <c r="B97" s="2">
        <v>43561</v>
      </c>
      <c r="C97" s="1" t="s">
        <v>34</v>
      </c>
      <c r="D97" s="1" t="s">
        <v>35</v>
      </c>
      <c r="E97" s="1">
        <v>9686</v>
      </c>
      <c r="F97" s="1">
        <v>5101</v>
      </c>
      <c r="G97" s="1" t="s">
        <v>36</v>
      </c>
      <c r="H97" s="1" t="s">
        <v>17</v>
      </c>
      <c r="I97" s="1" t="s">
        <v>18</v>
      </c>
      <c r="J97" s="1" t="s">
        <v>33</v>
      </c>
    </row>
    <row r="98" spans="1:10">
      <c r="A98" s="1" t="s">
        <v>13</v>
      </c>
      <c r="B98" s="2">
        <v>43562</v>
      </c>
      <c r="C98" s="1" t="s">
        <v>14</v>
      </c>
      <c r="D98" s="1" t="s">
        <v>37</v>
      </c>
      <c r="E98" s="1">
        <v>9657</v>
      </c>
      <c r="F98" s="1">
        <v>5946</v>
      </c>
      <c r="G98" s="1" t="s">
        <v>16</v>
      </c>
      <c r="H98" s="1" t="s">
        <v>17</v>
      </c>
      <c r="I98" s="1" t="s">
        <v>18</v>
      </c>
      <c r="J98" s="1" t="s">
        <v>33</v>
      </c>
    </row>
    <row r="99" spans="1:10">
      <c r="A99" s="1" t="s">
        <v>13</v>
      </c>
      <c r="B99" s="2">
        <v>43563</v>
      </c>
      <c r="C99" s="1" t="s">
        <v>20</v>
      </c>
      <c r="D99" s="1" t="s">
        <v>38</v>
      </c>
      <c r="E99" s="1">
        <v>3245</v>
      </c>
      <c r="F99" s="1">
        <v>2135</v>
      </c>
      <c r="G99" s="1" t="s">
        <v>22</v>
      </c>
      <c r="H99" s="1" t="s">
        <v>17</v>
      </c>
      <c r="I99" s="1" t="s">
        <v>18</v>
      </c>
      <c r="J99" s="1" t="s">
        <v>33</v>
      </c>
    </row>
    <row r="100" spans="1:10">
      <c r="A100" s="1" t="s">
        <v>13</v>
      </c>
      <c r="B100" s="2">
        <v>43564</v>
      </c>
      <c r="C100" s="1" t="s">
        <v>24</v>
      </c>
      <c r="D100" s="1" t="s">
        <v>39</v>
      </c>
      <c r="E100" s="1">
        <v>7270</v>
      </c>
      <c r="F100" s="1">
        <v>9106</v>
      </c>
      <c r="G100" s="1" t="s">
        <v>26</v>
      </c>
      <c r="H100" s="1" t="s">
        <v>17</v>
      </c>
      <c r="I100" s="1" t="s">
        <v>18</v>
      </c>
      <c r="J100" s="1" t="s">
        <v>33</v>
      </c>
    </row>
    <row r="101" spans="1:10">
      <c r="A101" s="1" t="s">
        <v>13</v>
      </c>
      <c r="B101" s="2">
        <v>43565</v>
      </c>
      <c r="C101" s="1" t="s">
        <v>27</v>
      </c>
      <c r="D101" s="1" t="s">
        <v>40</v>
      </c>
      <c r="E101" s="1">
        <v>1506</v>
      </c>
      <c r="F101" s="1">
        <v>8462</v>
      </c>
      <c r="G101" s="1" t="s">
        <v>29</v>
      </c>
      <c r="H101" s="1" t="s">
        <v>17</v>
      </c>
      <c r="I101" s="1" t="s">
        <v>18</v>
      </c>
      <c r="J101" s="1" t="s">
        <v>19</v>
      </c>
    </row>
    <row r="102" spans="1:10">
      <c r="A102" s="1" t="s">
        <v>13</v>
      </c>
      <c r="B102" s="2">
        <v>43566</v>
      </c>
      <c r="C102" s="1" t="s">
        <v>30</v>
      </c>
      <c r="D102" s="1" t="s">
        <v>15</v>
      </c>
      <c r="E102" s="1">
        <v>5956</v>
      </c>
      <c r="F102" s="1">
        <v>3869</v>
      </c>
      <c r="G102" s="1" t="s">
        <v>32</v>
      </c>
      <c r="H102" s="1" t="s">
        <v>17</v>
      </c>
      <c r="I102" s="1" t="s">
        <v>18</v>
      </c>
      <c r="J102" s="1" t="s">
        <v>33</v>
      </c>
    </row>
    <row r="103" spans="1:10">
      <c r="A103" s="1" t="s">
        <v>13</v>
      </c>
      <c r="B103" s="2">
        <v>43567</v>
      </c>
      <c r="C103" s="1" t="s">
        <v>34</v>
      </c>
      <c r="D103" s="1" t="s">
        <v>21</v>
      </c>
      <c r="E103" s="1">
        <v>1180</v>
      </c>
      <c r="F103" s="1">
        <v>2418</v>
      </c>
      <c r="G103" s="1" t="s">
        <v>36</v>
      </c>
      <c r="H103" s="1" t="s">
        <v>17</v>
      </c>
      <c r="I103" s="1" t="s">
        <v>18</v>
      </c>
      <c r="J103" s="1" t="s">
        <v>33</v>
      </c>
    </row>
    <row r="104" spans="1:10">
      <c r="A104" s="1" t="s">
        <v>13</v>
      </c>
      <c r="B104" s="2">
        <v>43568</v>
      </c>
      <c r="C104" s="1" t="s">
        <v>14</v>
      </c>
      <c r="D104" s="1" t="s">
        <v>25</v>
      </c>
      <c r="E104" s="1">
        <v>7333</v>
      </c>
      <c r="F104" s="1">
        <v>1094</v>
      </c>
      <c r="G104" s="1" t="s">
        <v>16</v>
      </c>
      <c r="H104" s="1" t="s">
        <v>23</v>
      </c>
      <c r="I104" s="1" t="s">
        <v>18</v>
      </c>
      <c r="J104" s="1" t="s">
        <v>33</v>
      </c>
    </row>
    <row r="105" spans="1:10">
      <c r="A105" s="1" t="s">
        <v>13</v>
      </c>
      <c r="B105" s="2">
        <v>43569</v>
      </c>
      <c r="C105" s="1" t="s">
        <v>20</v>
      </c>
      <c r="D105" s="1" t="s">
        <v>28</v>
      </c>
      <c r="E105" s="1">
        <v>5218</v>
      </c>
      <c r="F105" s="1">
        <v>4645</v>
      </c>
      <c r="G105" s="1" t="s">
        <v>22</v>
      </c>
      <c r="H105" s="1" t="s">
        <v>23</v>
      </c>
      <c r="I105" s="1" t="s">
        <v>18</v>
      </c>
      <c r="J105" s="1" t="s">
        <v>33</v>
      </c>
    </row>
    <row r="106" spans="1:10">
      <c r="A106" s="1" t="s">
        <v>13</v>
      </c>
      <c r="B106" s="2">
        <v>43570</v>
      </c>
      <c r="C106" s="1" t="s">
        <v>24</v>
      </c>
      <c r="D106" s="1" t="s">
        <v>31</v>
      </c>
      <c r="E106" s="1">
        <v>9717</v>
      </c>
      <c r="F106" s="1">
        <v>8938</v>
      </c>
      <c r="G106" s="1" t="s">
        <v>26</v>
      </c>
      <c r="H106" s="1" t="s">
        <v>23</v>
      </c>
      <c r="I106" s="1" t="s">
        <v>18</v>
      </c>
      <c r="J106" s="1" t="s">
        <v>33</v>
      </c>
    </row>
    <row r="107" spans="1:10">
      <c r="A107" s="1" t="s">
        <v>13</v>
      </c>
      <c r="B107" s="2">
        <v>43571</v>
      </c>
      <c r="C107" s="1" t="s">
        <v>27</v>
      </c>
      <c r="D107" s="1" t="s">
        <v>35</v>
      </c>
      <c r="E107" s="1">
        <v>7318</v>
      </c>
      <c r="F107" s="1">
        <v>5262</v>
      </c>
      <c r="G107" s="1" t="s">
        <v>29</v>
      </c>
      <c r="H107" s="1" t="s">
        <v>23</v>
      </c>
      <c r="I107" s="1" t="s">
        <v>18</v>
      </c>
      <c r="J107" s="1" t="s">
        <v>33</v>
      </c>
    </row>
    <row r="108" spans="1:10">
      <c r="A108" s="1" t="s">
        <v>13</v>
      </c>
      <c r="B108" s="2">
        <v>43572</v>
      </c>
      <c r="C108" s="1" t="s">
        <v>30</v>
      </c>
      <c r="D108" s="1" t="s">
        <v>37</v>
      </c>
      <c r="E108" s="1">
        <v>6698</v>
      </c>
      <c r="F108" s="1">
        <v>5741</v>
      </c>
      <c r="G108" s="1" t="s">
        <v>32</v>
      </c>
      <c r="H108" s="1" t="s">
        <v>23</v>
      </c>
      <c r="I108" s="1" t="s">
        <v>18</v>
      </c>
      <c r="J108" s="1" t="s">
        <v>33</v>
      </c>
    </row>
    <row r="109" spans="1:10">
      <c r="A109" s="1" t="s">
        <v>13</v>
      </c>
      <c r="B109" s="2">
        <v>43573</v>
      </c>
      <c r="C109" s="1" t="s">
        <v>34</v>
      </c>
      <c r="D109" s="1" t="s">
        <v>38</v>
      </c>
      <c r="E109" s="1">
        <v>1680</v>
      </c>
      <c r="F109" s="1">
        <v>9566</v>
      </c>
      <c r="G109" s="1" t="s">
        <v>36</v>
      </c>
      <c r="H109" s="1" t="s">
        <v>23</v>
      </c>
      <c r="I109" s="1" t="s">
        <v>18</v>
      </c>
      <c r="J109" s="1" t="s">
        <v>33</v>
      </c>
    </row>
    <row r="110" spans="1:10">
      <c r="A110" s="1" t="s">
        <v>13</v>
      </c>
      <c r="B110" s="2">
        <v>43574</v>
      </c>
      <c r="C110" s="1" t="s">
        <v>14</v>
      </c>
      <c r="D110" s="1" t="s">
        <v>39</v>
      </c>
      <c r="E110" s="1">
        <v>3026</v>
      </c>
      <c r="F110" s="1">
        <v>8901</v>
      </c>
      <c r="G110" s="1" t="s">
        <v>16</v>
      </c>
      <c r="H110" s="1" t="s">
        <v>23</v>
      </c>
      <c r="I110" s="1" t="s">
        <v>18</v>
      </c>
      <c r="J110" s="1" t="s">
        <v>33</v>
      </c>
    </row>
    <row r="111" spans="1:10">
      <c r="A111" s="1" t="s">
        <v>13</v>
      </c>
      <c r="B111" s="2">
        <v>43575</v>
      </c>
      <c r="C111" s="1" t="s">
        <v>20</v>
      </c>
      <c r="D111" s="1" t="s">
        <v>40</v>
      </c>
      <c r="E111" s="1">
        <v>9700</v>
      </c>
      <c r="F111" s="1">
        <v>7085</v>
      </c>
      <c r="G111" s="1" t="s">
        <v>22</v>
      </c>
      <c r="H111" s="1" t="s">
        <v>23</v>
      </c>
      <c r="I111" s="1" t="s">
        <v>18</v>
      </c>
      <c r="J111" s="1" t="s">
        <v>33</v>
      </c>
    </row>
    <row r="112" spans="1:10">
      <c r="A112" s="1" t="s">
        <v>13</v>
      </c>
      <c r="B112" s="2">
        <v>43576</v>
      </c>
      <c r="C112" s="1" t="s">
        <v>24</v>
      </c>
      <c r="D112" s="1" t="s">
        <v>15</v>
      </c>
      <c r="E112" s="1">
        <v>2236</v>
      </c>
      <c r="F112" s="1">
        <v>9778</v>
      </c>
      <c r="G112" s="1" t="s">
        <v>26</v>
      </c>
      <c r="H112" s="1" t="s">
        <v>23</v>
      </c>
      <c r="I112" s="1" t="s">
        <v>18</v>
      </c>
      <c r="J112" s="1" t="s">
        <v>33</v>
      </c>
    </row>
    <row r="113" spans="1:10">
      <c r="A113" s="1" t="s">
        <v>13</v>
      </c>
      <c r="B113" s="2">
        <v>43577</v>
      </c>
      <c r="C113" s="1" t="s">
        <v>27</v>
      </c>
      <c r="D113" s="1" t="s">
        <v>21</v>
      </c>
      <c r="E113" s="1">
        <v>8107</v>
      </c>
      <c r="F113" s="1">
        <v>8463</v>
      </c>
      <c r="G113" s="1" t="s">
        <v>29</v>
      </c>
      <c r="H113" s="1" t="s">
        <v>23</v>
      </c>
      <c r="I113" s="1" t="s">
        <v>18</v>
      </c>
      <c r="J113" s="1" t="s">
        <v>33</v>
      </c>
    </row>
    <row r="114" spans="1:10">
      <c r="A114" s="1" t="s">
        <v>13</v>
      </c>
      <c r="B114" s="2">
        <v>43578</v>
      </c>
      <c r="C114" s="1" t="s">
        <v>30</v>
      </c>
      <c r="D114" s="1" t="s">
        <v>25</v>
      </c>
      <c r="E114" s="1">
        <v>2721</v>
      </c>
      <c r="F114" s="1">
        <v>6980</v>
      </c>
      <c r="G114" s="1" t="s">
        <v>32</v>
      </c>
      <c r="H114" s="1" t="s">
        <v>23</v>
      </c>
      <c r="I114" s="1" t="s">
        <v>18</v>
      </c>
      <c r="J114" s="1" t="s">
        <v>43</v>
      </c>
    </row>
    <row r="115" spans="1:10">
      <c r="A115" s="1" t="s">
        <v>13</v>
      </c>
      <c r="B115" s="2">
        <v>43579</v>
      </c>
      <c r="C115" s="1" t="s">
        <v>34</v>
      </c>
      <c r="D115" s="1" t="s">
        <v>28</v>
      </c>
      <c r="E115" s="1">
        <v>1831</v>
      </c>
      <c r="F115" s="1">
        <v>9627</v>
      </c>
      <c r="G115" s="1" t="s">
        <v>36</v>
      </c>
      <c r="H115" s="1" t="s">
        <v>23</v>
      </c>
      <c r="I115" s="1" t="s">
        <v>18</v>
      </c>
      <c r="J115" s="1" t="s">
        <v>43</v>
      </c>
    </row>
    <row r="116" spans="1:10">
      <c r="A116" s="1" t="s">
        <v>13</v>
      </c>
      <c r="B116" s="2">
        <v>43580</v>
      </c>
      <c r="C116" s="1" t="s">
        <v>14</v>
      </c>
      <c r="D116" s="1" t="s">
        <v>31</v>
      </c>
      <c r="E116" s="1">
        <v>9659</v>
      </c>
      <c r="F116" s="1">
        <v>8172</v>
      </c>
      <c r="G116" s="1" t="s">
        <v>16</v>
      </c>
      <c r="H116" s="1" t="s">
        <v>23</v>
      </c>
      <c r="I116" s="1" t="s">
        <v>18</v>
      </c>
      <c r="J116" s="1" t="s">
        <v>43</v>
      </c>
    </row>
    <row r="117" spans="1:10">
      <c r="A117" s="1" t="s">
        <v>13</v>
      </c>
      <c r="B117" s="2">
        <v>43581</v>
      </c>
      <c r="C117" s="1" t="s">
        <v>20</v>
      </c>
      <c r="D117" s="1" t="s">
        <v>35</v>
      </c>
      <c r="E117" s="1">
        <v>8711</v>
      </c>
      <c r="F117" s="1">
        <v>5776</v>
      </c>
      <c r="G117" s="1" t="s">
        <v>22</v>
      </c>
      <c r="H117" s="1" t="s">
        <v>23</v>
      </c>
      <c r="I117" s="1" t="s">
        <v>18</v>
      </c>
      <c r="J117" s="1" t="s">
        <v>33</v>
      </c>
    </row>
    <row r="118" spans="1:10">
      <c r="A118" s="1" t="s">
        <v>13</v>
      </c>
      <c r="B118" s="2">
        <v>43582</v>
      </c>
      <c r="C118" s="1" t="s">
        <v>24</v>
      </c>
      <c r="D118" s="1" t="s">
        <v>37</v>
      </c>
      <c r="E118" s="1">
        <v>8954</v>
      </c>
      <c r="F118" s="1">
        <v>2348</v>
      </c>
      <c r="G118" s="1" t="s">
        <v>26</v>
      </c>
      <c r="H118" s="1" t="s">
        <v>23</v>
      </c>
      <c r="I118" s="1" t="s">
        <v>18</v>
      </c>
      <c r="J118" s="1" t="s">
        <v>43</v>
      </c>
    </row>
    <row r="119" spans="1:10">
      <c r="A119" s="1" t="s">
        <v>13</v>
      </c>
      <c r="B119" s="2">
        <v>43583</v>
      </c>
      <c r="C119" s="1" t="s">
        <v>27</v>
      </c>
      <c r="D119" s="1" t="s">
        <v>38</v>
      </c>
      <c r="E119" s="1">
        <v>6557</v>
      </c>
      <c r="F119" s="1">
        <v>4020</v>
      </c>
      <c r="G119" s="1" t="s">
        <v>29</v>
      </c>
      <c r="H119" s="1" t="s">
        <v>23</v>
      </c>
      <c r="I119" s="1" t="s">
        <v>18</v>
      </c>
      <c r="J119" s="1" t="s">
        <v>43</v>
      </c>
    </row>
    <row r="120" spans="1:10">
      <c r="A120" s="1" t="s">
        <v>13</v>
      </c>
      <c r="B120" s="2">
        <v>43584</v>
      </c>
      <c r="C120" s="1" t="s">
        <v>30</v>
      </c>
      <c r="D120" s="1" t="s">
        <v>39</v>
      </c>
      <c r="E120" s="1">
        <v>7240</v>
      </c>
      <c r="F120" s="1">
        <v>6953</v>
      </c>
      <c r="G120" s="1" t="s">
        <v>32</v>
      </c>
      <c r="H120" s="1" t="s">
        <v>23</v>
      </c>
      <c r="I120" s="1" t="s">
        <v>18</v>
      </c>
      <c r="J120" s="1" t="s">
        <v>43</v>
      </c>
    </row>
    <row r="121" spans="1:10">
      <c r="A121" s="1" t="s">
        <v>13</v>
      </c>
      <c r="B121" s="2">
        <v>43585</v>
      </c>
      <c r="C121" s="1" t="s">
        <v>34</v>
      </c>
      <c r="D121" s="1" t="s">
        <v>40</v>
      </c>
      <c r="E121" s="1">
        <v>5766</v>
      </c>
      <c r="F121" s="1">
        <v>4998</v>
      </c>
      <c r="G121" s="1" t="s">
        <v>36</v>
      </c>
      <c r="H121" s="1" t="s">
        <v>17</v>
      </c>
      <c r="I121" s="1" t="s">
        <v>18</v>
      </c>
      <c r="J121" s="1" t="s">
        <v>33</v>
      </c>
    </row>
    <row r="122" spans="1:10">
      <c r="A122" s="1" t="s">
        <v>13</v>
      </c>
      <c r="B122" s="2">
        <v>43586</v>
      </c>
      <c r="C122" s="1" t="s">
        <v>14</v>
      </c>
      <c r="D122" s="1" t="s">
        <v>15</v>
      </c>
      <c r="E122" s="1">
        <v>6233</v>
      </c>
      <c r="F122" s="1">
        <v>9058</v>
      </c>
      <c r="G122" s="1" t="s">
        <v>16</v>
      </c>
      <c r="H122" s="1" t="s">
        <v>17</v>
      </c>
      <c r="I122" s="1" t="s">
        <v>18</v>
      </c>
      <c r="J122" s="1" t="s">
        <v>43</v>
      </c>
    </row>
    <row r="123" spans="1:10">
      <c r="A123" s="1" t="s">
        <v>13</v>
      </c>
      <c r="B123" s="2">
        <v>43587</v>
      </c>
      <c r="C123" s="1" t="s">
        <v>20</v>
      </c>
      <c r="D123" s="1" t="s">
        <v>21</v>
      </c>
      <c r="E123" s="1">
        <v>3498</v>
      </c>
      <c r="F123" s="1">
        <v>6378</v>
      </c>
      <c r="G123" s="1" t="s">
        <v>22</v>
      </c>
      <c r="H123" s="1" t="s">
        <v>17</v>
      </c>
      <c r="I123" s="1" t="s">
        <v>18</v>
      </c>
      <c r="J123" s="1" t="s">
        <v>43</v>
      </c>
    </row>
    <row r="124" spans="1:10">
      <c r="A124" s="1" t="s">
        <v>13</v>
      </c>
      <c r="B124" s="2">
        <v>43588</v>
      </c>
      <c r="C124" s="1" t="s">
        <v>24</v>
      </c>
      <c r="D124" s="1" t="s">
        <v>25</v>
      </c>
      <c r="E124" s="1">
        <v>9453</v>
      </c>
      <c r="F124" s="1">
        <v>1213</v>
      </c>
      <c r="G124" s="1" t="s">
        <v>26</v>
      </c>
      <c r="H124" s="1" t="s">
        <v>17</v>
      </c>
      <c r="I124" s="1" t="s">
        <v>18</v>
      </c>
      <c r="J124" s="1" t="s">
        <v>43</v>
      </c>
    </row>
    <row r="125" spans="1:10">
      <c r="A125" s="1" t="s">
        <v>13</v>
      </c>
      <c r="B125" s="2">
        <v>43589</v>
      </c>
      <c r="C125" s="1" t="s">
        <v>27</v>
      </c>
      <c r="D125" s="1" t="s">
        <v>28</v>
      </c>
      <c r="E125" s="1">
        <v>9304</v>
      </c>
      <c r="F125" s="1">
        <v>5797</v>
      </c>
      <c r="G125" s="1" t="s">
        <v>29</v>
      </c>
      <c r="H125" s="1" t="s">
        <v>17</v>
      </c>
      <c r="I125" s="1" t="s">
        <v>18</v>
      </c>
      <c r="J125" s="1" t="s">
        <v>33</v>
      </c>
    </row>
    <row r="126" spans="1:10">
      <c r="A126" s="1" t="s">
        <v>13</v>
      </c>
      <c r="B126" s="2">
        <v>43590</v>
      </c>
      <c r="C126" s="1" t="s">
        <v>30</v>
      </c>
      <c r="D126" s="1" t="s">
        <v>31</v>
      </c>
      <c r="E126" s="1">
        <v>4627</v>
      </c>
      <c r="F126" s="1">
        <v>8016</v>
      </c>
      <c r="G126" s="1" t="s">
        <v>32</v>
      </c>
      <c r="H126" s="1" t="s">
        <v>17</v>
      </c>
      <c r="I126" s="1" t="s">
        <v>18</v>
      </c>
      <c r="J126" s="1" t="s">
        <v>33</v>
      </c>
    </row>
    <row r="127" spans="1:10">
      <c r="A127" s="1" t="s">
        <v>13</v>
      </c>
      <c r="B127" s="2">
        <v>43591</v>
      </c>
      <c r="C127" s="1" t="s">
        <v>34</v>
      </c>
      <c r="D127" s="1" t="s">
        <v>35</v>
      </c>
      <c r="E127" s="1">
        <v>7736</v>
      </c>
      <c r="F127" s="1">
        <v>6384</v>
      </c>
      <c r="G127" s="1" t="s">
        <v>36</v>
      </c>
      <c r="H127" s="1" t="s">
        <v>17</v>
      </c>
      <c r="I127" s="1" t="s">
        <v>18</v>
      </c>
      <c r="J127" s="1" t="s">
        <v>33</v>
      </c>
    </row>
    <row r="128" spans="1:10">
      <c r="A128" s="1" t="s">
        <v>13</v>
      </c>
      <c r="B128" s="2">
        <v>43592</v>
      </c>
      <c r="C128" s="1" t="s">
        <v>14</v>
      </c>
      <c r="D128" s="1" t="s">
        <v>37</v>
      </c>
      <c r="E128" s="1">
        <v>2038</v>
      </c>
      <c r="F128" s="1">
        <v>9338</v>
      </c>
      <c r="G128" s="1" t="s">
        <v>16</v>
      </c>
      <c r="H128" s="1" t="s">
        <v>17</v>
      </c>
      <c r="I128" s="1" t="s">
        <v>44</v>
      </c>
      <c r="J128" s="1" t="s">
        <v>33</v>
      </c>
    </row>
    <row r="129" spans="1:10">
      <c r="A129" s="1" t="s">
        <v>13</v>
      </c>
      <c r="B129" s="2">
        <v>43593</v>
      </c>
      <c r="C129" s="1" t="s">
        <v>20</v>
      </c>
      <c r="D129" s="1" t="s">
        <v>38</v>
      </c>
      <c r="E129" s="1">
        <v>2139</v>
      </c>
      <c r="F129" s="1">
        <v>3702</v>
      </c>
      <c r="G129" s="1" t="s">
        <v>22</v>
      </c>
      <c r="H129" s="1" t="s">
        <v>23</v>
      </c>
      <c r="I129" s="1" t="s">
        <v>18</v>
      </c>
      <c r="J129" s="1" t="s">
        <v>33</v>
      </c>
    </row>
    <row r="130" spans="1:10">
      <c r="A130" s="1" t="s">
        <v>13</v>
      </c>
      <c r="B130" s="2">
        <v>43594</v>
      </c>
      <c r="C130" s="1" t="s">
        <v>24</v>
      </c>
      <c r="D130" s="1" t="s">
        <v>39</v>
      </c>
      <c r="E130" s="1">
        <v>1067</v>
      </c>
      <c r="F130" s="1">
        <v>6161</v>
      </c>
      <c r="G130" s="1" t="s">
        <v>26</v>
      </c>
      <c r="H130" s="1" t="s">
        <v>23</v>
      </c>
      <c r="I130" s="1" t="s">
        <v>44</v>
      </c>
      <c r="J130" s="1" t="s">
        <v>33</v>
      </c>
    </row>
    <row r="131" spans="1:10">
      <c r="A131" s="1" t="s">
        <v>13</v>
      </c>
      <c r="B131" s="2">
        <v>43595</v>
      </c>
      <c r="C131" s="1" t="s">
        <v>27</v>
      </c>
      <c r="D131" s="1" t="s">
        <v>40</v>
      </c>
      <c r="E131" s="1">
        <v>3800</v>
      </c>
      <c r="F131" s="1">
        <v>1844</v>
      </c>
      <c r="G131" s="1" t="s">
        <v>29</v>
      </c>
      <c r="H131" s="1" t="s">
        <v>23</v>
      </c>
      <c r="I131" s="1" t="s">
        <v>18</v>
      </c>
      <c r="J131" s="1" t="s">
        <v>33</v>
      </c>
    </row>
    <row r="132" spans="1:10">
      <c r="A132" s="1" t="s">
        <v>13</v>
      </c>
      <c r="B132" s="2">
        <v>43596</v>
      </c>
      <c r="C132" s="1" t="s">
        <v>30</v>
      </c>
      <c r="D132" s="1" t="s">
        <v>15</v>
      </c>
      <c r="E132" s="1">
        <v>6289</v>
      </c>
      <c r="F132" s="1">
        <v>9762</v>
      </c>
      <c r="G132" s="1" t="s">
        <v>32</v>
      </c>
      <c r="H132" s="1" t="s">
        <v>23</v>
      </c>
      <c r="I132" s="1" t="s">
        <v>18</v>
      </c>
      <c r="J132" s="1" t="s">
        <v>33</v>
      </c>
    </row>
    <row r="133" spans="1:10">
      <c r="A133" s="1" t="s">
        <v>13</v>
      </c>
      <c r="B133" s="2">
        <v>43597</v>
      </c>
      <c r="C133" s="1" t="s">
        <v>34</v>
      </c>
      <c r="D133" s="1" t="s">
        <v>21</v>
      </c>
      <c r="E133" s="1">
        <v>9194</v>
      </c>
      <c r="F133" s="1">
        <v>8049</v>
      </c>
      <c r="G133" s="1" t="s">
        <v>36</v>
      </c>
      <c r="H133" s="1" t="s">
        <v>23</v>
      </c>
      <c r="I133" s="1" t="s">
        <v>18</v>
      </c>
      <c r="J133" s="1" t="s">
        <v>33</v>
      </c>
    </row>
    <row r="134" spans="1:10">
      <c r="A134" s="1" t="s">
        <v>13</v>
      </c>
      <c r="B134" s="2">
        <v>43598</v>
      </c>
      <c r="C134" s="1" t="s">
        <v>14</v>
      </c>
      <c r="D134" s="1" t="s">
        <v>25</v>
      </c>
      <c r="E134" s="1">
        <v>3807</v>
      </c>
      <c r="F134" s="1">
        <v>6327</v>
      </c>
      <c r="G134" s="1" t="s">
        <v>16</v>
      </c>
      <c r="H134" s="1" t="s">
        <v>23</v>
      </c>
      <c r="I134" s="1" t="s">
        <v>18</v>
      </c>
      <c r="J134" s="1" t="s">
        <v>43</v>
      </c>
    </row>
    <row r="135" spans="1:10">
      <c r="A135" s="1" t="s">
        <v>13</v>
      </c>
      <c r="B135" s="2">
        <v>43599</v>
      </c>
      <c r="C135" s="1" t="s">
        <v>20</v>
      </c>
      <c r="D135" s="1" t="s">
        <v>28</v>
      </c>
      <c r="E135" s="1">
        <v>5785</v>
      </c>
      <c r="F135" s="1">
        <v>4865</v>
      </c>
      <c r="G135" s="1" t="s">
        <v>22</v>
      </c>
      <c r="H135" s="1" t="s">
        <v>23</v>
      </c>
      <c r="I135" s="1" t="s">
        <v>44</v>
      </c>
      <c r="J135" s="1" t="s">
        <v>33</v>
      </c>
    </row>
    <row r="136" spans="1:10">
      <c r="A136" s="1" t="s">
        <v>13</v>
      </c>
      <c r="B136" s="2">
        <v>43600</v>
      </c>
      <c r="C136" s="1" t="s">
        <v>24</v>
      </c>
      <c r="D136" s="1" t="s">
        <v>31</v>
      </c>
      <c r="E136" s="1">
        <v>7836</v>
      </c>
      <c r="F136" s="1">
        <v>3980</v>
      </c>
      <c r="G136" s="1" t="s">
        <v>26</v>
      </c>
      <c r="H136" s="1" t="s">
        <v>23</v>
      </c>
      <c r="I136" s="1" t="s">
        <v>18</v>
      </c>
      <c r="J136" s="1" t="s">
        <v>33</v>
      </c>
    </row>
    <row r="137" spans="1:10">
      <c r="A137" s="1" t="s">
        <v>13</v>
      </c>
      <c r="B137" s="2">
        <v>43601</v>
      </c>
      <c r="C137" s="1" t="s">
        <v>27</v>
      </c>
      <c r="D137" s="1" t="s">
        <v>35</v>
      </c>
      <c r="E137" s="1">
        <v>2344</v>
      </c>
      <c r="F137" s="1">
        <v>5567</v>
      </c>
      <c r="G137" s="1" t="s">
        <v>29</v>
      </c>
      <c r="H137" s="1" t="s">
        <v>23</v>
      </c>
      <c r="I137" s="1" t="s">
        <v>18</v>
      </c>
      <c r="J137" s="1" t="s">
        <v>33</v>
      </c>
    </row>
    <row r="138" spans="1:10">
      <c r="A138" s="1" t="s">
        <v>13</v>
      </c>
      <c r="B138" s="2">
        <v>43602</v>
      </c>
      <c r="C138" s="1" t="s">
        <v>30</v>
      </c>
      <c r="D138" s="1" t="s">
        <v>37</v>
      </c>
      <c r="E138" s="1">
        <v>4241</v>
      </c>
      <c r="F138" s="1">
        <v>9064</v>
      </c>
      <c r="G138" s="1" t="s">
        <v>32</v>
      </c>
      <c r="H138" s="1" t="s">
        <v>23</v>
      </c>
      <c r="I138" s="1" t="s">
        <v>18</v>
      </c>
      <c r="J138" s="1" t="s">
        <v>43</v>
      </c>
    </row>
    <row r="139" spans="1:10">
      <c r="A139" s="1" t="s">
        <v>13</v>
      </c>
      <c r="B139" s="2">
        <v>43603</v>
      </c>
      <c r="C139" s="1" t="s">
        <v>34</v>
      </c>
      <c r="D139" s="1" t="s">
        <v>38</v>
      </c>
      <c r="E139" s="1">
        <v>3744</v>
      </c>
      <c r="F139" s="1">
        <v>2467</v>
      </c>
      <c r="G139" s="1" t="s">
        <v>36</v>
      </c>
      <c r="H139" s="1" t="s">
        <v>23</v>
      </c>
      <c r="I139" s="1" t="s">
        <v>18</v>
      </c>
      <c r="J139" s="1" t="s">
        <v>43</v>
      </c>
    </row>
    <row r="140" spans="1:10">
      <c r="A140" s="1" t="s">
        <v>13</v>
      </c>
      <c r="B140" s="2">
        <v>43604</v>
      </c>
      <c r="C140" s="1" t="s">
        <v>14</v>
      </c>
      <c r="D140" s="1" t="s">
        <v>39</v>
      </c>
      <c r="E140" s="1">
        <v>1885</v>
      </c>
      <c r="F140" s="1">
        <v>1088</v>
      </c>
      <c r="G140" s="1" t="s">
        <v>16</v>
      </c>
      <c r="H140" s="1" t="s">
        <v>23</v>
      </c>
      <c r="I140" s="1" t="s">
        <v>44</v>
      </c>
      <c r="J140" s="1" t="s">
        <v>43</v>
      </c>
    </row>
    <row r="141" spans="1:10">
      <c r="A141" s="1" t="s">
        <v>13</v>
      </c>
      <c r="B141" s="2">
        <v>43605</v>
      </c>
      <c r="C141" s="1" t="s">
        <v>20</v>
      </c>
      <c r="D141" s="1" t="s">
        <v>40</v>
      </c>
      <c r="E141" s="1">
        <v>1278</v>
      </c>
      <c r="F141" s="1">
        <v>1691</v>
      </c>
      <c r="G141" s="1" t="s">
        <v>22</v>
      </c>
      <c r="H141" s="1" t="s">
        <v>23</v>
      </c>
      <c r="I141" s="1" t="s">
        <v>18</v>
      </c>
      <c r="J141" s="1" t="s">
        <v>43</v>
      </c>
    </row>
    <row r="142" spans="1:10">
      <c r="A142" s="1" t="s">
        <v>13</v>
      </c>
      <c r="B142" s="2">
        <v>43606</v>
      </c>
      <c r="C142" s="1" t="s">
        <v>24</v>
      </c>
      <c r="D142" s="1" t="s">
        <v>15</v>
      </c>
      <c r="E142" s="1">
        <v>9976</v>
      </c>
      <c r="F142" s="1">
        <v>2016</v>
      </c>
      <c r="G142" s="1" t="s">
        <v>26</v>
      </c>
      <c r="H142" s="1" t="s">
        <v>23</v>
      </c>
      <c r="I142" s="1" t="s">
        <v>18</v>
      </c>
      <c r="J142" s="1" t="s">
        <v>43</v>
      </c>
    </row>
    <row r="143" spans="1:10">
      <c r="A143" s="1" t="s">
        <v>13</v>
      </c>
      <c r="B143" s="2">
        <v>43607</v>
      </c>
      <c r="C143" s="1" t="s">
        <v>27</v>
      </c>
      <c r="D143" s="1" t="s">
        <v>21</v>
      </c>
      <c r="E143" s="1">
        <v>2297</v>
      </c>
      <c r="F143" s="1">
        <v>6924</v>
      </c>
      <c r="G143" s="1" t="s">
        <v>29</v>
      </c>
      <c r="H143" s="1" t="s">
        <v>17</v>
      </c>
      <c r="I143" s="1" t="s">
        <v>18</v>
      </c>
      <c r="J143" s="1" t="s">
        <v>43</v>
      </c>
    </row>
    <row r="144" spans="1:10">
      <c r="A144" s="1" t="s">
        <v>13</v>
      </c>
      <c r="B144" s="2">
        <v>43608</v>
      </c>
      <c r="C144" s="1" t="s">
        <v>30</v>
      </c>
      <c r="D144" s="1" t="s">
        <v>25</v>
      </c>
      <c r="E144" s="1">
        <v>7545</v>
      </c>
      <c r="F144" s="1">
        <v>2928</v>
      </c>
      <c r="G144" s="1" t="s">
        <v>32</v>
      </c>
      <c r="H144" s="1" t="s">
        <v>17</v>
      </c>
      <c r="I144" s="1" t="s">
        <v>18</v>
      </c>
      <c r="J144" s="1" t="s">
        <v>33</v>
      </c>
    </row>
    <row r="145" spans="1:10">
      <c r="A145" s="1" t="s">
        <v>13</v>
      </c>
      <c r="B145" s="2">
        <v>43609</v>
      </c>
      <c r="C145" s="1" t="s">
        <v>34</v>
      </c>
      <c r="D145" s="1" t="s">
        <v>28</v>
      </c>
      <c r="E145" s="1">
        <v>6500</v>
      </c>
      <c r="F145" s="1">
        <v>6913</v>
      </c>
      <c r="G145" s="1" t="s">
        <v>36</v>
      </c>
      <c r="H145" s="1" t="s">
        <v>17</v>
      </c>
      <c r="I145" s="1" t="s">
        <v>18</v>
      </c>
      <c r="J145" s="1" t="s">
        <v>33</v>
      </c>
    </row>
    <row r="146" spans="1:10">
      <c r="A146" s="1" t="s">
        <v>13</v>
      </c>
      <c r="B146" s="2">
        <v>43610</v>
      </c>
      <c r="C146" s="1" t="s">
        <v>14</v>
      </c>
      <c r="D146" s="1" t="s">
        <v>31</v>
      </c>
      <c r="E146" s="1">
        <v>8589</v>
      </c>
      <c r="F146" s="1">
        <v>7867</v>
      </c>
      <c r="G146" s="1" t="s">
        <v>16</v>
      </c>
      <c r="H146" s="1" t="s">
        <v>17</v>
      </c>
      <c r="I146" s="1" t="s">
        <v>18</v>
      </c>
      <c r="J146" s="1" t="s">
        <v>33</v>
      </c>
    </row>
    <row r="147" spans="1:10">
      <c r="A147" s="1" t="s">
        <v>13</v>
      </c>
      <c r="B147" s="2">
        <v>43611</v>
      </c>
      <c r="C147" s="1" t="s">
        <v>20</v>
      </c>
      <c r="D147" s="1" t="s">
        <v>35</v>
      </c>
      <c r="E147" s="1">
        <v>5338</v>
      </c>
      <c r="F147" s="1">
        <v>9043</v>
      </c>
      <c r="G147" s="1" t="s">
        <v>22</v>
      </c>
      <c r="H147" s="1" t="s">
        <v>17</v>
      </c>
      <c r="I147" s="1" t="s">
        <v>18</v>
      </c>
      <c r="J147" s="1" t="s">
        <v>33</v>
      </c>
    </row>
    <row r="148" spans="1:10">
      <c r="A148" s="1" t="s">
        <v>13</v>
      </c>
      <c r="B148" s="2">
        <v>43612</v>
      </c>
      <c r="C148" s="1" t="s">
        <v>24</v>
      </c>
      <c r="D148" s="1" t="s">
        <v>37</v>
      </c>
      <c r="E148" s="1">
        <v>1089</v>
      </c>
      <c r="F148" s="1">
        <v>6845</v>
      </c>
      <c r="G148" s="1" t="s">
        <v>26</v>
      </c>
      <c r="H148" s="1" t="s">
        <v>17</v>
      </c>
      <c r="I148" s="1" t="s">
        <v>18</v>
      </c>
      <c r="J148" s="1" t="s">
        <v>33</v>
      </c>
    </row>
    <row r="149" spans="1:10">
      <c r="A149" s="1" t="s">
        <v>13</v>
      </c>
      <c r="B149" s="2">
        <v>43613</v>
      </c>
      <c r="C149" s="1" t="s">
        <v>27</v>
      </c>
      <c r="D149" s="1" t="s">
        <v>38</v>
      </c>
      <c r="E149" s="1">
        <v>5932</v>
      </c>
      <c r="F149" s="1">
        <v>3675</v>
      </c>
      <c r="G149" s="1" t="s">
        <v>29</v>
      </c>
      <c r="H149" s="1" t="s">
        <v>17</v>
      </c>
      <c r="I149" s="1" t="s">
        <v>18</v>
      </c>
      <c r="J149" s="1" t="s">
        <v>33</v>
      </c>
    </row>
    <row r="150" spans="1:10">
      <c r="A150" s="1" t="s">
        <v>13</v>
      </c>
      <c r="B150" s="2">
        <v>43614</v>
      </c>
      <c r="C150" s="1" t="s">
        <v>30</v>
      </c>
      <c r="D150" s="1" t="s">
        <v>39</v>
      </c>
      <c r="E150" s="1">
        <v>6668</v>
      </c>
      <c r="F150" s="1">
        <v>9867</v>
      </c>
      <c r="G150" s="1" t="s">
        <v>32</v>
      </c>
      <c r="H150" s="1" t="s">
        <v>23</v>
      </c>
      <c r="I150" s="1" t="s">
        <v>18</v>
      </c>
      <c r="J150" s="1" t="s">
        <v>43</v>
      </c>
    </row>
    <row r="151" spans="1:10">
      <c r="A151" s="1" t="s">
        <v>13</v>
      </c>
      <c r="B151" s="2">
        <v>43615</v>
      </c>
      <c r="C151" s="1" t="s">
        <v>34</v>
      </c>
      <c r="D151" s="1" t="s">
        <v>40</v>
      </c>
      <c r="E151" s="1">
        <v>8801</v>
      </c>
      <c r="F151" s="1">
        <v>6902</v>
      </c>
      <c r="G151" s="1" t="s">
        <v>36</v>
      </c>
      <c r="H151" s="1" t="s">
        <v>23</v>
      </c>
      <c r="I151" s="1" t="s">
        <v>18</v>
      </c>
      <c r="J151" s="1" t="s">
        <v>43</v>
      </c>
    </row>
    <row r="152" spans="1:10">
      <c r="A152" s="1" t="s">
        <v>13</v>
      </c>
      <c r="B152" s="2">
        <v>43616</v>
      </c>
      <c r="C152" s="1" t="s">
        <v>14</v>
      </c>
      <c r="D152" s="1" t="s">
        <v>15</v>
      </c>
      <c r="E152" s="1">
        <v>3380</v>
      </c>
      <c r="F152" s="1">
        <v>6011</v>
      </c>
      <c r="G152" s="1" t="s">
        <v>16</v>
      </c>
      <c r="H152" s="1" t="s">
        <v>23</v>
      </c>
      <c r="I152" s="1" t="s">
        <v>18</v>
      </c>
      <c r="J152" s="1" t="s">
        <v>43</v>
      </c>
    </row>
    <row r="153" spans="1:10">
      <c r="A153" s="1" t="s">
        <v>13</v>
      </c>
      <c r="B153" s="2">
        <v>43617</v>
      </c>
      <c r="C153" s="1" t="s">
        <v>20</v>
      </c>
      <c r="D153" s="1" t="s">
        <v>21</v>
      </c>
      <c r="E153" s="1">
        <v>8821</v>
      </c>
      <c r="F153" s="1">
        <v>4996</v>
      </c>
      <c r="G153" s="1" t="s">
        <v>22</v>
      </c>
      <c r="H153" s="1" t="s">
        <v>23</v>
      </c>
      <c r="I153" s="1" t="s">
        <v>18</v>
      </c>
      <c r="J153" s="1" t="s">
        <v>43</v>
      </c>
    </row>
    <row r="154" spans="1:10">
      <c r="A154" s="1" t="s">
        <v>13</v>
      </c>
      <c r="B154" s="2">
        <v>43618</v>
      </c>
      <c r="C154" s="1" t="s">
        <v>24</v>
      </c>
      <c r="D154" s="1" t="s">
        <v>25</v>
      </c>
      <c r="E154" s="1">
        <v>1479</v>
      </c>
      <c r="F154" s="1">
        <v>8717</v>
      </c>
      <c r="G154" s="1" t="s">
        <v>26</v>
      </c>
      <c r="H154" s="1" t="s">
        <v>23</v>
      </c>
      <c r="I154" s="1" t="s">
        <v>18</v>
      </c>
      <c r="J154" s="1" t="s">
        <v>33</v>
      </c>
    </row>
    <row r="155" spans="1:10">
      <c r="A155" s="1" t="s">
        <v>13</v>
      </c>
      <c r="B155" s="2">
        <v>43619</v>
      </c>
      <c r="C155" s="1" t="s">
        <v>27</v>
      </c>
      <c r="D155" s="1" t="s">
        <v>28</v>
      </c>
      <c r="E155" s="1">
        <v>9936</v>
      </c>
      <c r="F155" s="1">
        <v>6871</v>
      </c>
      <c r="G155" s="1" t="s">
        <v>29</v>
      </c>
      <c r="H155" s="1" t="s">
        <v>23</v>
      </c>
      <c r="I155" s="1" t="s">
        <v>18</v>
      </c>
      <c r="J155" s="1" t="s">
        <v>33</v>
      </c>
    </row>
    <row r="156" spans="1:10">
      <c r="A156" s="1" t="s">
        <v>13</v>
      </c>
      <c r="B156" s="2">
        <v>43620</v>
      </c>
      <c r="C156" s="1" t="s">
        <v>30</v>
      </c>
      <c r="D156" s="1" t="s">
        <v>31</v>
      </c>
      <c r="E156" s="1">
        <v>4400</v>
      </c>
      <c r="F156" s="1">
        <v>1411</v>
      </c>
      <c r="G156" s="1" t="s">
        <v>32</v>
      </c>
      <c r="H156" s="1" t="s">
        <v>23</v>
      </c>
      <c r="I156" s="1" t="s">
        <v>18</v>
      </c>
      <c r="J156" s="1" t="s">
        <v>33</v>
      </c>
    </row>
    <row r="157" spans="1:10">
      <c r="A157" s="1" t="s">
        <v>13</v>
      </c>
      <c r="B157" s="2">
        <v>43621</v>
      </c>
      <c r="C157" s="1" t="s">
        <v>34</v>
      </c>
      <c r="D157" s="1" t="s">
        <v>35</v>
      </c>
      <c r="E157" s="1">
        <v>5945</v>
      </c>
      <c r="F157" s="1">
        <v>9445</v>
      </c>
      <c r="G157" s="1" t="s">
        <v>36</v>
      </c>
      <c r="H157" s="1" t="s">
        <v>23</v>
      </c>
      <c r="I157" s="1" t="s">
        <v>18</v>
      </c>
      <c r="J157" s="1" t="s">
        <v>33</v>
      </c>
    </row>
    <row r="158" spans="1:10">
      <c r="A158" s="1" t="s">
        <v>13</v>
      </c>
      <c r="B158" s="2">
        <v>43622</v>
      </c>
      <c r="C158" s="1" t="s">
        <v>14</v>
      </c>
      <c r="D158" s="1" t="s">
        <v>37</v>
      </c>
      <c r="E158" s="1">
        <v>5775</v>
      </c>
      <c r="F158" s="1">
        <v>6181</v>
      </c>
      <c r="G158" s="1" t="s">
        <v>16</v>
      </c>
      <c r="H158" s="1" t="s">
        <v>23</v>
      </c>
      <c r="I158" s="1" t="s">
        <v>18</v>
      </c>
      <c r="J158" s="1" t="s">
        <v>33</v>
      </c>
    </row>
    <row r="159" spans="1:10">
      <c r="A159" s="1" t="s">
        <v>13</v>
      </c>
      <c r="B159" s="2">
        <v>43623</v>
      </c>
      <c r="C159" s="1" t="s">
        <v>20</v>
      </c>
      <c r="D159" s="1" t="s">
        <v>38</v>
      </c>
      <c r="E159" s="1">
        <v>7750</v>
      </c>
      <c r="F159" s="1">
        <v>6926</v>
      </c>
      <c r="G159" s="1" t="s">
        <v>22</v>
      </c>
      <c r="H159" s="1" t="s">
        <v>23</v>
      </c>
      <c r="I159" s="1" t="s">
        <v>18</v>
      </c>
      <c r="J159" s="1" t="s">
        <v>33</v>
      </c>
    </row>
    <row r="160" spans="1:10">
      <c r="A160" s="1" t="s">
        <v>13</v>
      </c>
      <c r="B160" s="2">
        <v>43624</v>
      </c>
      <c r="C160" s="1" t="s">
        <v>24</v>
      </c>
      <c r="D160" s="1" t="s">
        <v>39</v>
      </c>
      <c r="E160" s="1">
        <v>5339</v>
      </c>
      <c r="F160" s="1">
        <v>7530</v>
      </c>
      <c r="G160" s="1" t="s">
        <v>26</v>
      </c>
      <c r="H160" s="1" t="s">
        <v>23</v>
      </c>
      <c r="I160" s="1" t="s">
        <v>18</v>
      </c>
      <c r="J160" s="1" t="s">
        <v>43</v>
      </c>
    </row>
    <row r="161" spans="1:10">
      <c r="A161" s="1" t="s">
        <v>13</v>
      </c>
      <c r="B161" s="2">
        <v>43625</v>
      </c>
      <c r="C161" s="1" t="s">
        <v>27</v>
      </c>
      <c r="D161" s="1" t="s">
        <v>40</v>
      </c>
      <c r="E161" s="1">
        <v>9997</v>
      </c>
      <c r="F161" s="1">
        <v>4505</v>
      </c>
      <c r="G161" s="1" t="s">
        <v>29</v>
      </c>
      <c r="H161" s="1" t="s">
        <v>23</v>
      </c>
      <c r="I161" s="1" t="s">
        <v>18</v>
      </c>
      <c r="J161" s="1" t="s">
        <v>43</v>
      </c>
    </row>
    <row r="162" spans="1:10">
      <c r="A162" s="1" t="s">
        <v>13</v>
      </c>
      <c r="B162" s="2">
        <v>43626</v>
      </c>
      <c r="C162" s="1" t="s">
        <v>30</v>
      </c>
      <c r="D162" s="1" t="s">
        <v>15</v>
      </c>
      <c r="E162" s="1">
        <v>4112</v>
      </c>
      <c r="F162" s="1">
        <v>2005</v>
      </c>
      <c r="G162" s="1" t="s">
        <v>32</v>
      </c>
      <c r="H162" s="1" t="s">
        <v>23</v>
      </c>
      <c r="I162" s="1" t="s">
        <v>18</v>
      </c>
      <c r="J162" s="1" t="s">
        <v>43</v>
      </c>
    </row>
    <row r="163" spans="1:10">
      <c r="A163" s="1" t="s">
        <v>13</v>
      </c>
      <c r="B163" s="2">
        <v>43627</v>
      </c>
      <c r="C163" s="1" t="s">
        <v>34</v>
      </c>
      <c r="D163" s="1" t="s">
        <v>21</v>
      </c>
      <c r="E163" s="1">
        <v>6804</v>
      </c>
      <c r="F163" s="1">
        <v>4634</v>
      </c>
      <c r="G163" s="1" t="s">
        <v>36</v>
      </c>
      <c r="H163" s="1" t="s">
        <v>23</v>
      </c>
      <c r="I163" s="1" t="s">
        <v>18</v>
      </c>
      <c r="J163" s="1" t="s">
        <v>43</v>
      </c>
    </row>
    <row r="164" spans="1:10">
      <c r="A164" s="1" t="s">
        <v>13</v>
      </c>
      <c r="B164" s="2">
        <v>43628</v>
      </c>
      <c r="C164" s="1" t="s">
        <v>14</v>
      </c>
      <c r="D164" s="1" t="s">
        <v>25</v>
      </c>
      <c r="E164" s="1">
        <v>7706</v>
      </c>
      <c r="F164" s="1">
        <v>9822</v>
      </c>
      <c r="G164" s="1" t="s">
        <v>16</v>
      </c>
      <c r="H164" s="1" t="s">
        <v>23</v>
      </c>
      <c r="I164" s="1" t="s">
        <v>18</v>
      </c>
      <c r="J164" s="1" t="s">
        <v>43</v>
      </c>
    </row>
    <row r="165" spans="1:10">
      <c r="A165" s="1" t="s">
        <v>13</v>
      </c>
      <c r="B165" s="2">
        <v>43629</v>
      </c>
      <c r="C165" s="1" t="s">
        <v>20</v>
      </c>
      <c r="D165" s="1" t="s">
        <v>28</v>
      </c>
      <c r="E165" s="1">
        <v>1288</v>
      </c>
      <c r="F165" s="1">
        <v>1625</v>
      </c>
      <c r="G165" s="1" t="s">
        <v>22</v>
      </c>
      <c r="H165" s="1" t="s">
        <v>23</v>
      </c>
      <c r="I165" s="1" t="s">
        <v>18</v>
      </c>
      <c r="J165" s="1" t="s">
        <v>43</v>
      </c>
    </row>
    <row r="166" spans="1:10">
      <c r="A166" s="1" t="s">
        <v>13</v>
      </c>
      <c r="B166" s="2">
        <v>43630</v>
      </c>
      <c r="C166" s="1" t="s">
        <v>24</v>
      </c>
      <c r="D166" s="1" t="s">
        <v>31</v>
      </c>
      <c r="E166" s="1">
        <v>7095</v>
      </c>
      <c r="F166" s="1">
        <v>5807</v>
      </c>
      <c r="G166" s="1" t="s">
        <v>26</v>
      </c>
      <c r="H166" s="1" t="s">
        <v>23</v>
      </c>
      <c r="I166" s="1" t="s">
        <v>18</v>
      </c>
      <c r="J166" s="1" t="s">
        <v>43</v>
      </c>
    </row>
    <row r="167" spans="1:10">
      <c r="A167" s="1" t="s">
        <v>13</v>
      </c>
      <c r="B167" s="2">
        <v>43631</v>
      </c>
      <c r="C167" s="1" t="s">
        <v>27</v>
      </c>
      <c r="D167" s="1" t="s">
        <v>35</v>
      </c>
      <c r="E167" s="1">
        <v>3020</v>
      </c>
      <c r="F167" s="1">
        <v>4990</v>
      </c>
      <c r="G167" s="1" t="s">
        <v>29</v>
      </c>
      <c r="H167" s="1" t="s">
        <v>17</v>
      </c>
      <c r="I167" s="1" t="s">
        <v>18</v>
      </c>
      <c r="J167" s="1" t="s">
        <v>43</v>
      </c>
    </row>
    <row r="168" spans="1:10">
      <c r="A168" s="1" t="s">
        <v>13</v>
      </c>
      <c r="B168" s="2">
        <v>43632</v>
      </c>
      <c r="C168" s="1" t="s">
        <v>30</v>
      </c>
      <c r="D168" s="1" t="s">
        <v>37</v>
      </c>
      <c r="E168" s="1">
        <v>2161</v>
      </c>
      <c r="F168" s="1">
        <v>4570</v>
      </c>
      <c r="G168" s="1" t="s">
        <v>32</v>
      </c>
      <c r="H168" s="1" t="s">
        <v>17</v>
      </c>
      <c r="I168" s="1" t="s">
        <v>18</v>
      </c>
      <c r="J168" s="1" t="s">
        <v>43</v>
      </c>
    </row>
    <row r="169" spans="1:10">
      <c r="A169" s="1" t="s">
        <v>13</v>
      </c>
      <c r="B169" s="2">
        <v>43633</v>
      </c>
      <c r="C169" s="1" t="s">
        <v>34</v>
      </c>
      <c r="D169" s="1" t="s">
        <v>38</v>
      </c>
      <c r="E169" s="1">
        <v>5743</v>
      </c>
      <c r="F169" s="1">
        <v>1808</v>
      </c>
      <c r="G169" s="1" t="s">
        <v>36</v>
      </c>
      <c r="H169" s="1" t="s">
        <v>17</v>
      </c>
      <c r="I169" s="1" t="s">
        <v>18</v>
      </c>
      <c r="J169" s="1" t="s">
        <v>43</v>
      </c>
    </row>
    <row r="170" spans="1:10">
      <c r="A170" s="1" t="s">
        <v>13</v>
      </c>
      <c r="B170" s="2">
        <v>43634</v>
      </c>
      <c r="C170" s="1" t="s">
        <v>14</v>
      </c>
      <c r="D170" s="1" t="s">
        <v>39</v>
      </c>
      <c r="E170" s="1">
        <v>2848</v>
      </c>
      <c r="F170" s="1">
        <v>4396</v>
      </c>
      <c r="G170" s="1" t="s">
        <v>16</v>
      </c>
      <c r="H170" s="1" t="s">
        <v>17</v>
      </c>
      <c r="I170" s="1" t="s">
        <v>18</v>
      </c>
      <c r="J170" s="1" t="s">
        <v>33</v>
      </c>
    </row>
    <row r="171" spans="1:10">
      <c r="A171" s="1" t="s">
        <v>13</v>
      </c>
      <c r="B171" s="2">
        <v>43635</v>
      </c>
      <c r="C171" s="1" t="s">
        <v>20</v>
      </c>
      <c r="D171" s="1" t="s">
        <v>40</v>
      </c>
      <c r="E171" s="1">
        <v>9450</v>
      </c>
      <c r="F171" s="1">
        <v>1841</v>
      </c>
      <c r="G171" s="1" t="s">
        <v>22</v>
      </c>
      <c r="H171" s="1" t="s">
        <v>17</v>
      </c>
      <c r="I171" s="1" t="s">
        <v>18</v>
      </c>
      <c r="J171" s="1" t="s">
        <v>33</v>
      </c>
    </row>
    <row r="172" spans="1:10">
      <c r="A172" s="1" t="s">
        <v>13</v>
      </c>
      <c r="B172" s="2">
        <v>43636</v>
      </c>
      <c r="C172" s="1" t="s">
        <v>24</v>
      </c>
      <c r="D172" s="1" t="s">
        <v>15</v>
      </c>
      <c r="E172" s="1">
        <v>7581</v>
      </c>
      <c r="F172" s="1">
        <v>7749</v>
      </c>
      <c r="G172" s="1" t="s">
        <v>26</v>
      </c>
      <c r="H172" s="1" t="s">
        <v>17</v>
      </c>
      <c r="I172" s="1" t="s">
        <v>18</v>
      </c>
      <c r="J172" s="1" t="s">
        <v>33</v>
      </c>
    </row>
    <row r="173" spans="1:10">
      <c r="A173" s="1" t="s">
        <v>13</v>
      </c>
      <c r="B173" s="2">
        <v>43637</v>
      </c>
      <c r="C173" s="1" t="s">
        <v>27</v>
      </c>
      <c r="D173" s="1" t="s">
        <v>21</v>
      </c>
      <c r="E173" s="1">
        <v>4924</v>
      </c>
      <c r="F173" s="1">
        <v>6853</v>
      </c>
      <c r="G173" s="1" t="s">
        <v>29</v>
      </c>
      <c r="H173" s="1" t="s">
        <v>17</v>
      </c>
      <c r="I173" s="1" t="s">
        <v>18</v>
      </c>
      <c r="J173" s="1" t="s">
        <v>33</v>
      </c>
    </row>
    <row r="174" spans="1:10">
      <c r="A174" s="1" t="s">
        <v>13</v>
      </c>
      <c r="B174" s="2">
        <v>43638</v>
      </c>
      <c r="C174" s="1" t="s">
        <v>30</v>
      </c>
      <c r="D174" s="1" t="s">
        <v>25</v>
      </c>
      <c r="E174" s="1">
        <v>4566</v>
      </c>
      <c r="F174" s="1">
        <v>2193</v>
      </c>
      <c r="G174" s="1" t="s">
        <v>32</v>
      </c>
      <c r="H174" s="1" t="s">
        <v>17</v>
      </c>
      <c r="I174" s="1" t="s">
        <v>18</v>
      </c>
      <c r="J174" s="1" t="s">
        <v>33</v>
      </c>
    </row>
    <row r="175" spans="1:10">
      <c r="A175" s="1" t="s">
        <v>13</v>
      </c>
      <c r="B175" s="2">
        <v>43639</v>
      </c>
      <c r="C175" s="1" t="s">
        <v>34</v>
      </c>
      <c r="D175" s="1" t="s">
        <v>28</v>
      </c>
      <c r="E175" s="1">
        <v>7657</v>
      </c>
      <c r="F175" s="1">
        <v>2521</v>
      </c>
      <c r="G175" s="1" t="s">
        <v>36</v>
      </c>
      <c r="H175" s="1" t="s">
        <v>23</v>
      </c>
      <c r="I175" s="1" t="s">
        <v>18</v>
      </c>
      <c r="J175" s="1" t="s">
        <v>33</v>
      </c>
    </row>
    <row r="176" spans="1:10">
      <c r="A176" s="1" t="s">
        <v>13</v>
      </c>
      <c r="B176" s="2">
        <v>43640</v>
      </c>
      <c r="C176" s="1" t="s">
        <v>14</v>
      </c>
      <c r="D176" s="1" t="s">
        <v>31</v>
      </c>
      <c r="E176" s="1">
        <v>9540</v>
      </c>
      <c r="F176" s="1">
        <v>1965</v>
      </c>
      <c r="G176" s="1" t="s">
        <v>16</v>
      </c>
      <c r="H176" s="1" t="s">
        <v>23</v>
      </c>
      <c r="I176" s="1" t="s">
        <v>18</v>
      </c>
      <c r="J176" s="1" t="s">
        <v>43</v>
      </c>
    </row>
    <row r="177" spans="1:10">
      <c r="A177" s="1" t="s">
        <v>13</v>
      </c>
      <c r="B177" s="2">
        <v>43641</v>
      </c>
      <c r="C177" s="1" t="s">
        <v>20</v>
      </c>
      <c r="D177" s="1" t="s">
        <v>35</v>
      </c>
      <c r="E177" s="1">
        <v>1241</v>
      </c>
      <c r="F177" s="1">
        <v>2362</v>
      </c>
      <c r="G177" s="1" t="s">
        <v>22</v>
      </c>
      <c r="H177" s="1" t="s">
        <v>23</v>
      </c>
      <c r="I177" s="1" t="s">
        <v>18</v>
      </c>
      <c r="J177" s="1" t="s">
        <v>43</v>
      </c>
    </row>
    <row r="178" spans="1:10">
      <c r="A178" s="1" t="s">
        <v>13</v>
      </c>
      <c r="B178" s="2">
        <v>43642</v>
      </c>
      <c r="C178" s="1" t="s">
        <v>24</v>
      </c>
      <c r="D178" s="1" t="s">
        <v>37</v>
      </c>
      <c r="E178" s="1">
        <v>9477</v>
      </c>
      <c r="F178" s="1">
        <v>2829</v>
      </c>
      <c r="G178" s="1" t="s">
        <v>26</v>
      </c>
      <c r="H178" s="1" t="s">
        <v>23</v>
      </c>
      <c r="I178" s="1" t="s">
        <v>18</v>
      </c>
      <c r="J178" s="1" t="s">
        <v>43</v>
      </c>
    </row>
    <row r="179" spans="1:10">
      <c r="A179" s="1" t="s">
        <v>13</v>
      </c>
      <c r="B179" s="2">
        <v>43643</v>
      </c>
      <c r="C179" s="1" t="s">
        <v>27</v>
      </c>
      <c r="D179" s="1" t="s">
        <v>38</v>
      </c>
      <c r="E179" s="1">
        <v>5518</v>
      </c>
      <c r="F179" s="1">
        <v>8111</v>
      </c>
      <c r="G179" s="1" t="s">
        <v>29</v>
      </c>
      <c r="H179" s="1" t="s">
        <v>23</v>
      </c>
      <c r="I179" s="1" t="s">
        <v>44</v>
      </c>
      <c r="J179" s="1" t="s">
        <v>43</v>
      </c>
    </row>
    <row r="180" spans="1:10">
      <c r="A180" s="1" t="s">
        <v>13</v>
      </c>
      <c r="B180" s="2">
        <v>43644</v>
      </c>
      <c r="C180" s="1" t="s">
        <v>30</v>
      </c>
      <c r="D180" s="1" t="s">
        <v>39</v>
      </c>
      <c r="E180" s="1">
        <v>4900</v>
      </c>
      <c r="F180" s="1">
        <v>3712</v>
      </c>
      <c r="G180" s="1" t="s">
        <v>32</v>
      </c>
      <c r="H180" s="1" t="s">
        <v>23</v>
      </c>
      <c r="I180" s="1" t="s">
        <v>18</v>
      </c>
      <c r="J180" s="1" t="s">
        <v>33</v>
      </c>
    </row>
    <row r="181" spans="1:10">
      <c r="A181" s="1" t="s">
        <v>13</v>
      </c>
      <c r="B181" s="2">
        <v>43645</v>
      </c>
      <c r="C181" s="1" t="s">
        <v>34</v>
      </c>
      <c r="D181" s="1" t="s">
        <v>40</v>
      </c>
      <c r="E181" s="1">
        <v>1244</v>
      </c>
      <c r="F181" s="1">
        <v>6171</v>
      </c>
      <c r="G181" s="1" t="s">
        <v>36</v>
      </c>
      <c r="H181" s="1" t="s">
        <v>23</v>
      </c>
      <c r="I181" s="1" t="s">
        <v>18</v>
      </c>
      <c r="J181" s="1" t="s">
        <v>43</v>
      </c>
    </row>
    <row r="182" spans="1:10">
      <c r="A182" s="1" t="s">
        <v>13</v>
      </c>
      <c r="B182" s="2">
        <v>43646</v>
      </c>
      <c r="C182" s="1" t="s">
        <v>14</v>
      </c>
      <c r="D182" s="1" t="s">
        <v>15</v>
      </c>
      <c r="E182" s="1">
        <v>1447</v>
      </c>
      <c r="F182" s="1">
        <v>5401</v>
      </c>
      <c r="G182" s="1" t="s">
        <v>16</v>
      </c>
      <c r="H182" s="1" t="s">
        <v>23</v>
      </c>
      <c r="I182" s="1" t="s">
        <v>18</v>
      </c>
      <c r="J182" s="1" t="s">
        <v>43</v>
      </c>
    </row>
    <row r="183" spans="1:10">
      <c r="A183" s="1" t="s">
        <v>13</v>
      </c>
      <c r="B183" s="2">
        <v>43647</v>
      </c>
      <c r="C183" s="1" t="s">
        <v>20</v>
      </c>
      <c r="D183" s="1" t="s">
        <v>21</v>
      </c>
      <c r="E183" s="1">
        <v>6237</v>
      </c>
      <c r="F183" s="1">
        <v>6610</v>
      </c>
      <c r="G183" s="1" t="s">
        <v>22</v>
      </c>
      <c r="H183" s="1" t="s">
        <v>23</v>
      </c>
      <c r="I183" s="1" t="s">
        <v>18</v>
      </c>
      <c r="J183" s="1" t="s">
        <v>43</v>
      </c>
    </row>
    <row r="184" spans="1:10">
      <c r="A184" s="1" t="s">
        <v>13</v>
      </c>
      <c r="B184" s="2">
        <v>43648</v>
      </c>
      <c r="C184" s="1" t="s">
        <v>24</v>
      </c>
      <c r="D184" s="1" t="s">
        <v>25</v>
      </c>
      <c r="E184" s="1">
        <v>1232</v>
      </c>
      <c r="F184" s="1">
        <v>6841</v>
      </c>
      <c r="G184" s="1" t="s">
        <v>26</v>
      </c>
      <c r="H184" s="1" t="s">
        <v>23</v>
      </c>
      <c r="I184" s="1" t="s">
        <v>44</v>
      </c>
      <c r="J184" s="1" t="s">
        <v>33</v>
      </c>
    </row>
    <row r="185" spans="1:10">
      <c r="A185" s="1" t="s">
        <v>13</v>
      </c>
      <c r="B185" s="2">
        <v>43649</v>
      </c>
      <c r="C185" s="1" t="s">
        <v>27</v>
      </c>
      <c r="D185" s="1" t="s">
        <v>28</v>
      </c>
      <c r="E185" s="1">
        <v>9401</v>
      </c>
      <c r="F185" s="1">
        <v>4050</v>
      </c>
      <c r="G185" s="1" t="s">
        <v>29</v>
      </c>
      <c r="H185" s="1" t="s">
        <v>23</v>
      </c>
      <c r="I185" s="1" t="s">
        <v>18</v>
      </c>
      <c r="J185" s="1" t="s">
        <v>43</v>
      </c>
    </row>
    <row r="186" spans="1:10">
      <c r="A186" s="1" t="s">
        <v>13</v>
      </c>
      <c r="B186" s="2">
        <v>43650</v>
      </c>
      <c r="C186" s="1" t="s">
        <v>30</v>
      </c>
      <c r="D186" s="1" t="s">
        <v>31</v>
      </c>
      <c r="E186" s="1">
        <v>7111</v>
      </c>
      <c r="F186" s="1">
        <v>3860</v>
      </c>
      <c r="G186" s="1" t="s">
        <v>32</v>
      </c>
      <c r="H186" s="1" t="s">
        <v>23</v>
      </c>
      <c r="I186" s="1" t="s">
        <v>18</v>
      </c>
      <c r="J186" s="1" t="s">
        <v>43</v>
      </c>
    </row>
    <row r="187" spans="1:10">
      <c r="A187" s="1" t="s">
        <v>13</v>
      </c>
      <c r="B187" s="2">
        <v>43651</v>
      </c>
      <c r="C187" s="1" t="s">
        <v>34</v>
      </c>
      <c r="D187" s="1" t="s">
        <v>35</v>
      </c>
      <c r="E187" s="1">
        <v>3607</v>
      </c>
      <c r="F187" s="1">
        <v>8531</v>
      </c>
      <c r="G187" s="1" t="s">
        <v>36</v>
      </c>
      <c r="H187" s="1" t="s">
        <v>23</v>
      </c>
      <c r="I187" s="1" t="s">
        <v>18</v>
      </c>
      <c r="J187" s="1" t="s">
        <v>43</v>
      </c>
    </row>
    <row r="188" spans="1:10">
      <c r="A188" s="1" t="s">
        <v>13</v>
      </c>
      <c r="B188" s="2">
        <v>43652</v>
      </c>
      <c r="C188" s="1" t="s">
        <v>14</v>
      </c>
      <c r="D188" s="1" t="s">
        <v>37</v>
      </c>
      <c r="E188" s="1">
        <v>5258</v>
      </c>
      <c r="F188" s="1">
        <v>5663</v>
      </c>
      <c r="G188" s="1" t="s">
        <v>16</v>
      </c>
      <c r="H188" s="1" t="s">
        <v>23</v>
      </c>
      <c r="I188" s="1" t="s">
        <v>18</v>
      </c>
      <c r="J188" s="1" t="s">
        <v>43</v>
      </c>
    </row>
    <row r="189" spans="1:10">
      <c r="A189" s="1" t="s">
        <v>13</v>
      </c>
      <c r="B189" s="2">
        <v>43653</v>
      </c>
      <c r="C189" s="1" t="s">
        <v>20</v>
      </c>
      <c r="D189" s="1" t="s">
        <v>38</v>
      </c>
      <c r="E189" s="1">
        <v>7965</v>
      </c>
      <c r="F189" s="1">
        <v>7456</v>
      </c>
      <c r="G189" s="1" t="s">
        <v>22</v>
      </c>
      <c r="H189" s="1" t="s">
        <v>23</v>
      </c>
      <c r="I189" s="1" t="s">
        <v>44</v>
      </c>
      <c r="J189" s="1" t="s">
        <v>43</v>
      </c>
    </row>
    <row r="190" spans="1:10">
      <c r="A190" s="1" t="s">
        <v>13</v>
      </c>
      <c r="B190" s="2">
        <v>43654</v>
      </c>
      <c r="C190" s="1" t="s">
        <v>24</v>
      </c>
      <c r="D190" s="1" t="s">
        <v>39</v>
      </c>
      <c r="E190" s="1">
        <v>8136</v>
      </c>
      <c r="F190" s="1">
        <v>3509</v>
      </c>
      <c r="G190" s="1" t="s">
        <v>26</v>
      </c>
      <c r="H190" s="1" t="s">
        <v>23</v>
      </c>
      <c r="I190" s="1" t="s">
        <v>18</v>
      </c>
      <c r="J190" s="1" t="s">
        <v>43</v>
      </c>
    </row>
    <row r="191" spans="1:10">
      <c r="A191" s="1" t="s">
        <v>13</v>
      </c>
      <c r="B191" s="2">
        <v>43655</v>
      </c>
      <c r="C191" s="1" t="s">
        <v>27</v>
      </c>
      <c r="D191" s="1" t="s">
        <v>40</v>
      </c>
      <c r="E191" s="1">
        <v>7324</v>
      </c>
      <c r="F191" s="1">
        <v>1024</v>
      </c>
      <c r="G191" s="1" t="s">
        <v>29</v>
      </c>
      <c r="H191" s="1" t="s">
        <v>23</v>
      </c>
      <c r="I191" s="1" t="s">
        <v>18</v>
      </c>
      <c r="J191" s="1" t="s">
        <v>33</v>
      </c>
    </row>
    <row r="192" spans="1:10">
      <c r="A192" s="1" t="s">
        <v>13</v>
      </c>
      <c r="B192" s="2">
        <v>43656</v>
      </c>
      <c r="C192" s="1" t="s">
        <v>30</v>
      </c>
      <c r="D192" s="1" t="s">
        <v>15</v>
      </c>
      <c r="E192" s="1">
        <v>2565</v>
      </c>
      <c r="F192" s="1">
        <v>5866</v>
      </c>
      <c r="G192" s="1" t="s">
        <v>32</v>
      </c>
      <c r="H192" s="1" t="s">
        <v>23</v>
      </c>
      <c r="I192" s="1" t="s">
        <v>18</v>
      </c>
      <c r="J192" s="1" t="s">
        <v>33</v>
      </c>
    </row>
    <row r="193" spans="1:10">
      <c r="A193" s="1" t="s">
        <v>13</v>
      </c>
      <c r="B193" s="2">
        <v>43657</v>
      </c>
      <c r="C193" s="1" t="s">
        <v>34</v>
      </c>
      <c r="D193" s="1" t="s">
        <v>21</v>
      </c>
      <c r="E193" s="1">
        <v>9642</v>
      </c>
      <c r="F193" s="1">
        <v>9248</v>
      </c>
      <c r="G193" s="1" t="s">
        <v>36</v>
      </c>
      <c r="H193" s="1" t="s">
        <v>23</v>
      </c>
      <c r="I193" s="1" t="s">
        <v>18</v>
      </c>
      <c r="J193" s="1" t="s">
        <v>33</v>
      </c>
    </row>
    <row r="194" spans="1:10">
      <c r="A194" s="1" t="s">
        <v>13</v>
      </c>
      <c r="B194" s="2">
        <v>43658</v>
      </c>
      <c r="C194" s="1" t="s">
        <v>14</v>
      </c>
      <c r="D194" s="1" t="s">
        <v>25</v>
      </c>
      <c r="E194" s="1">
        <v>6468</v>
      </c>
      <c r="F194" s="1">
        <v>6921</v>
      </c>
      <c r="G194" s="1" t="s">
        <v>16</v>
      </c>
      <c r="H194" s="1" t="s">
        <v>23</v>
      </c>
      <c r="I194" s="1" t="s">
        <v>18</v>
      </c>
      <c r="J194" s="1" t="s">
        <v>33</v>
      </c>
    </row>
    <row r="195" spans="1:10">
      <c r="A195" s="1" t="s">
        <v>13</v>
      </c>
      <c r="B195" s="2">
        <v>43659</v>
      </c>
      <c r="C195" s="1" t="s">
        <v>20</v>
      </c>
      <c r="D195" s="1" t="s">
        <v>28</v>
      </c>
      <c r="E195" s="1">
        <v>9048</v>
      </c>
      <c r="F195" s="1">
        <v>4417</v>
      </c>
      <c r="G195" s="1" t="s">
        <v>22</v>
      </c>
      <c r="H195" s="1" t="s">
        <v>23</v>
      </c>
      <c r="I195" s="1" t="s">
        <v>18</v>
      </c>
      <c r="J195" s="1" t="s">
        <v>33</v>
      </c>
    </row>
    <row r="196" spans="1:10">
      <c r="A196" s="1" t="s">
        <v>13</v>
      </c>
      <c r="B196" s="2">
        <v>43660</v>
      </c>
      <c r="C196" s="1" t="s">
        <v>24</v>
      </c>
      <c r="D196" s="1" t="s">
        <v>31</v>
      </c>
      <c r="E196" s="1">
        <v>9226</v>
      </c>
      <c r="F196" s="1">
        <v>7810</v>
      </c>
      <c r="G196" s="1" t="s">
        <v>26</v>
      </c>
      <c r="H196" s="1" t="s">
        <v>23</v>
      </c>
      <c r="I196" s="1" t="s">
        <v>18</v>
      </c>
      <c r="J196" s="1" t="s">
        <v>33</v>
      </c>
    </row>
    <row r="197" spans="1:10">
      <c r="A197" s="1" t="s">
        <v>13</v>
      </c>
      <c r="B197" s="2">
        <v>43661</v>
      </c>
      <c r="C197" s="1" t="s">
        <v>27</v>
      </c>
      <c r="D197" s="1" t="s">
        <v>35</v>
      </c>
      <c r="E197" s="1">
        <v>3286</v>
      </c>
      <c r="F197" s="1">
        <v>3030</v>
      </c>
      <c r="G197" s="1" t="s">
        <v>29</v>
      </c>
      <c r="H197" s="1" t="s">
        <v>23</v>
      </c>
      <c r="I197" s="1" t="s">
        <v>18</v>
      </c>
      <c r="J197" s="1" t="s">
        <v>33</v>
      </c>
    </row>
    <row r="198" spans="1:10">
      <c r="A198" s="1" t="s">
        <v>13</v>
      </c>
      <c r="B198" s="2">
        <v>43662</v>
      </c>
      <c r="C198" s="1" t="s">
        <v>30</v>
      </c>
      <c r="D198" s="1" t="s">
        <v>37</v>
      </c>
      <c r="E198" s="1">
        <v>4346</v>
      </c>
      <c r="F198" s="1">
        <v>8521</v>
      </c>
      <c r="G198" s="1" t="s">
        <v>32</v>
      </c>
      <c r="H198" s="1" t="s">
        <v>23</v>
      </c>
      <c r="I198" s="1" t="s">
        <v>18</v>
      </c>
      <c r="J198" s="1" t="s">
        <v>33</v>
      </c>
    </row>
    <row r="199" spans="1:10">
      <c r="A199" s="1" t="s">
        <v>13</v>
      </c>
      <c r="B199" s="2">
        <v>43663</v>
      </c>
      <c r="C199" s="1" t="s">
        <v>34</v>
      </c>
      <c r="D199" s="1" t="s">
        <v>38</v>
      </c>
      <c r="E199" s="1">
        <v>2344</v>
      </c>
      <c r="F199" s="1">
        <v>1050</v>
      </c>
      <c r="G199" s="1" t="s">
        <v>36</v>
      </c>
      <c r="H199" s="1" t="s">
        <v>23</v>
      </c>
      <c r="I199" s="1" t="s">
        <v>18</v>
      </c>
      <c r="J199" s="1" t="s">
        <v>33</v>
      </c>
    </row>
    <row r="200" spans="1:10">
      <c r="A200" s="1" t="s">
        <v>13</v>
      </c>
      <c r="B200" s="2">
        <v>43664</v>
      </c>
      <c r="C200" s="1" t="s">
        <v>14</v>
      </c>
      <c r="D200" s="1" t="s">
        <v>39</v>
      </c>
      <c r="E200" s="1">
        <v>3602</v>
      </c>
      <c r="F200" s="1">
        <v>7527</v>
      </c>
      <c r="G200" s="1" t="s">
        <v>16</v>
      </c>
      <c r="H200" s="1" t="s">
        <v>23</v>
      </c>
      <c r="I200" s="1" t="s">
        <v>18</v>
      </c>
      <c r="J200" s="1" t="s">
        <v>33</v>
      </c>
    </row>
    <row r="201" spans="1:10">
      <c r="A201" s="1" t="s">
        <v>13</v>
      </c>
      <c r="B201" s="2">
        <v>43665</v>
      </c>
      <c r="C201" s="1" t="s">
        <v>20</v>
      </c>
      <c r="D201" s="1" t="s">
        <v>40</v>
      </c>
      <c r="E201" s="1">
        <v>4754</v>
      </c>
      <c r="F201" s="1">
        <v>4636</v>
      </c>
      <c r="G201" s="1" t="s">
        <v>22</v>
      </c>
      <c r="H201" s="1" t="s">
        <v>23</v>
      </c>
      <c r="I201" s="1" t="s">
        <v>18</v>
      </c>
      <c r="J201" s="1" t="s">
        <v>33</v>
      </c>
    </row>
    <row r="202" spans="1:10">
      <c r="A202" s="1" t="s">
        <v>13</v>
      </c>
      <c r="B202" s="2">
        <v>43666</v>
      </c>
      <c r="C202" s="1" t="s">
        <v>24</v>
      </c>
      <c r="D202" s="1" t="s">
        <v>15</v>
      </c>
      <c r="E202" s="1">
        <v>9446</v>
      </c>
      <c r="F202" s="1">
        <v>5328</v>
      </c>
      <c r="G202" s="1" t="s">
        <v>26</v>
      </c>
      <c r="H202" s="1" t="s">
        <v>23</v>
      </c>
      <c r="I202" s="1" t="s">
        <v>18</v>
      </c>
      <c r="J202" s="1" t="s">
        <v>33</v>
      </c>
    </row>
    <row r="203" spans="1:10">
      <c r="A203" s="1" t="s">
        <v>13</v>
      </c>
      <c r="B203" s="2">
        <v>43667</v>
      </c>
      <c r="C203" s="1" t="s">
        <v>27</v>
      </c>
      <c r="D203" s="1" t="s">
        <v>21</v>
      </c>
      <c r="E203" s="1">
        <v>3679</v>
      </c>
      <c r="F203" s="1">
        <v>3023</v>
      </c>
      <c r="G203" s="1" t="s">
        <v>29</v>
      </c>
      <c r="H203" s="1" t="s">
        <v>23</v>
      </c>
      <c r="I203" s="1" t="s">
        <v>18</v>
      </c>
      <c r="J203" s="1" t="s">
        <v>33</v>
      </c>
    </row>
    <row r="204" spans="1:10">
      <c r="A204" s="1" t="s">
        <v>13</v>
      </c>
      <c r="B204" s="2">
        <v>43668</v>
      </c>
      <c r="C204" s="1" t="s">
        <v>30</v>
      </c>
      <c r="D204" s="1" t="s">
        <v>25</v>
      </c>
      <c r="E204" s="1">
        <v>1393</v>
      </c>
      <c r="F204" s="1">
        <v>8875</v>
      </c>
      <c r="G204" s="1" t="s">
        <v>32</v>
      </c>
      <c r="H204" s="1" t="s">
        <v>23</v>
      </c>
      <c r="I204" s="1" t="s">
        <v>18</v>
      </c>
      <c r="J204" s="1" t="s">
        <v>33</v>
      </c>
    </row>
    <row r="205" spans="1:10">
      <c r="A205" s="1" t="s">
        <v>13</v>
      </c>
      <c r="B205" s="2">
        <v>43669</v>
      </c>
      <c r="C205" s="1" t="s">
        <v>34</v>
      </c>
      <c r="D205" s="1" t="s">
        <v>28</v>
      </c>
      <c r="E205" s="1">
        <v>9857</v>
      </c>
      <c r="F205" s="1">
        <v>8485</v>
      </c>
      <c r="G205" s="1" t="s">
        <v>36</v>
      </c>
      <c r="H205" s="1" t="s">
        <v>23</v>
      </c>
      <c r="I205" s="1" t="s">
        <v>18</v>
      </c>
      <c r="J205" s="1" t="s">
        <v>33</v>
      </c>
    </row>
    <row r="206" spans="1:10">
      <c r="A206" s="1" t="s">
        <v>13</v>
      </c>
      <c r="B206" s="2">
        <v>43670</v>
      </c>
      <c r="C206" s="1" t="s">
        <v>14</v>
      </c>
      <c r="D206" s="1" t="s">
        <v>31</v>
      </c>
      <c r="E206" s="1">
        <v>2781</v>
      </c>
      <c r="F206" s="1">
        <v>6132</v>
      </c>
      <c r="G206" s="1" t="s">
        <v>16</v>
      </c>
      <c r="H206" s="1" t="s">
        <v>23</v>
      </c>
      <c r="I206" s="1" t="s">
        <v>18</v>
      </c>
      <c r="J206" s="1" t="s">
        <v>33</v>
      </c>
    </row>
    <row r="207" spans="1:10">
      <c r="A207" s="1" t="s">
        <v>13</v>
      </c>
      <c r="B207" s="2">
        <v>43671</v>
      </c>
      <c r="C207" s="1" t="s">
        <v>20</v>
      </c>
      <c r="D207" s="1" t="s">
        <v>35</v>
      </c>
      <c r="E207" s="1">
        <v>2493</v>
      </c>
      <c r="F207" s="1">
        <v>4271</v>
      </c>
      <c r="G207" s="1" t="s">
        <v>22</v>
      </c>
      <c r="H207" s="1" t="s">
        <v>23</v>
      </c>
      <c r="I207" s="1" t="s">
        <v>18</v>
      </c>
      <c r="J207" s="1" t="s">
        <v>33</v>
      </c>
    </row>
    <row r="208" spans="1:10">
      <c r="A208" s="1" t="s">
        <v>13</v>
      </c>
      <c r="B208" s="2">
        <v>43672</v>
      </c>
      <c r="C208" s="1" t="s">
        <v>24</v>
      </c>
      <c r="D208" s="1" t="s">
        <v>37</v>
      </c>
      <c r="E208" s="1">
        <v>2290</v>
      </c>
      <c r="F208" s="1">
        <v>7745</v>
      </c>
      <c r="G208" s="1" t="s">
        <v>26</v>
      </c>
      <c r="H208" s="1" t="s">
        <v>23</v>
      </c>
      <c r="I208" s="1" t="s">
        <v>18</v>
      </c>
      <c r="J208" s="1" t="s">
        <v>33</v>
      </c>
    </row>
    <row r="209" spans="1:10">
      <c r="A209" s="1" t="s">
        <v>13</v>
      </c>
      <c r="B209" s="2">
        <v>43673</v>
      </c>
      <c r="C209" s="1" t="s">
        <v>27</v>
      </c>
      <c r="D209" s="1" t="s">
        <v>38</v>
      </c>
      <c r="E209" s="1">
        <v>9396</v>
      </c>
      <c r="F209" s="1">
        <v>7690</v>
      </c>
      <c r="G209" s="1" t="s">
        <v>29</v>
      </c>
      <c r="H209" s="1" t="s">
        <v>23</v>
      </c>
      <c r="I209" s="1" t="s">
        <v>18</v>
      </c>
      <c r="J209" s="1" t="s">
        <v>33</v>
      </c>
    </row>
    <row r="210" spans="1:10">
      <c r="A210" s="1" t="s">
        <v>13</v>
      </c>
      <c r="B210" s="2">
        <v>43674</v>
      </c>
      <c r="C210" s="1" t="s">
        <v>30</v>
      </c>
      <c r="D210" s="1" t="s">
        <v>39</v>
      </c>
      <c r="E210" s="1">
        <v>5400</v>
      </c>
      <c r="F210" s="1">
        <v>3086</v>
      </c>
      <c r="G210" s="1" t="s">
        <v>32</v>
      </c>
      <c r="H210" s="1" t="s">
        <v>23</v>
      </c>
      <c r="I210" s="1" t="s">
        <v>18</v>
      </c>
      <c r="J210" s="1" t="s">
        <v>33</v>
      </c>
    </row>
    <row r="211" spans="1:10">
      <c r="A211" s="1" t="s">
        <v>13</v>
      </c>
      <c r="B211" s="2">
        <v>43675</v>
      </c>
      <c r="C211" s="1" t="s">
        <v>34</v>
      </c>
      <c r="D211" s="1" t="s">
        <v>40</v>
      </c>
      <c r="E211" s="1">
        <v>7558</v>
      </c>
      <c r="F211" s="1">
        <v>2711</v>
      </c>
      <c r="G211" s="1" t="s">
        <v>36</v>
      </c>
      <c r="H211" s="1" t="s">
        <v>23</v>
      </c>
      <c r="I211" s="1" t="s">
        <v>18</v>
      </c>
      <c r="J211" s="1" t="s">
        <v>33</v>
      </c>
    </row>
    <row r="212" spans="1:10">
      <c r="A212" s="1" t="s">
        <v>13</v>
      </c>
      <c r="B212" s="2">
        <v>43676</v>
      </c>
      <c r="C212" s="1" t="s">
        <v>14</v>
      </c>
      <c r="D212" s="1" t="s">
        <v>15</v>
      </c>
      <c r="E212" s="1">
        <v>6653</v>
      </c>
      <c r="F212" s="1">
        <v>7202</v>
      </c>
      <c r="G212" s="1" t="s">
        <v>16</v>
      </c>
      <c r="H212" s="1" t="s">
        <v>23</v>
      </c>
      <c r="I212" s="1" t="s">
        <v>18</v>
      </c>
      <c r="J212" s="1" t="s">
        <v>33</v>
      </c>
    </row>
    <row r="213" spans="1:10">
      <c r="A213" s="1" t="s">
        <v>13</v>
      </c>
      <c r="B213" s="2">
        <v>43677</v>
      </c>
      <c r="C213" s="1" t="s">
        <v>20</v>
      </c>
      <c r="D213" s="1" t="s">
        <v>21</v>
      </c>
      <c r="E213" s="1">
        <v>8668</v>
      </c>
      <c r="F213" s="1">
        <v>1836</v>
      </c>
      <c r="G213" s="1" t="s">
        <v>22</v>
      </c>
      <c r="H213" s="1" t="s">
        <v>23</v>
      </c>
      <c r="I213" s="1" t="s">
        <v>18</v>
      </c>
      <c r="J213" s="1" t="s">
        <v>33</v>
      </c>
    </row>
    <row r="214" spans="1:10">
      <c r="A214" s="1" t="s">
        <v>13</v>
      </c>
      <c r="B214" s="2">
        <v>43678</v>
      </c>
      <c r="C214" s="1" t="s">
        <v>24</v>
      </c>
      <c r="D214" s="1" t="s">
        <v>25</v>
      </c>
      <c r="E214" s="3"/>
      <c r="F214" s="1">
        <v>5400</v>
      </c>
      <c r="G214" s="1" t="s">
        <v>26</v>
      </c>
    </row>
    <row r="215" spans="1:10">
      <c r="A215" s="1" t="s">
        <v>13</v>
      </c>
      <c r="B215" s="2">
        <v>43679</v>
      </c>
      <c r="C215" s="1" t="s">
        <v>27</v>
      </c>
      <c r="D215" s="1" t="s">
        <v>28</v>
      </c>
      <c r="E215" s="3"/>
      <c r="F215" s="1">
        <v>8173</v>
      </c>
      <c r="G215" s="1" t="s">
        <v>29</v>
      </c>
    </row>
    <row r="216" spans="1:10">
      <c r="A216" s="1" t="s">
        <v>13</v>
      </c>
      <c r="B216" s="2">
        <v>43680</v>
      </c>
      <c r="C216" s="1" t="s">
        <v>30</v>
      </c>
      <c r="D216" s="1" t="s">
        <v>31</v>
      </c>
      <c r="E216" s="3"/>
      <c r="F216" s="1">
        <v>7112</v>
      </c>
      <c r="G216" s="1" t="s">
        <v>32</v>
      </c>
    </row>
    <row r="217" spans="1:10">
      <c r="A217" s="1" t="s">
        <v>13</v>
      </c>
      <c r="B217" s="2">
        <v>43681</v>
      </c>
      <c r="C217" s="1" t="s">
        <v>34</v>
      </c>
      <c r="D217" s="1" t="s">
        <v>35</v>
      </c>
      <c r="E217" s="3"/>
      <c r="F217" s="1">
        <v>3806</v>
      </c>
      <c r="G217" s="1" t="s">
        <v>36</v>
      </c>
    </row>
    <row r="218" spans="1:10">
      <c r="A218" s="1" t="s">
        <v>13</v>
      </c>
      <c r="B218" s="2">
        <v>43682</v>
      </c>
      <c r="C218" s="1" t="s">
        <v>14</v>
      </c>
      <c r="D218" s="1" t="s">
        <v>37</v>
      </c>
      <c r="E218" s="3"/>
      <c r="F218" s="1">
        <v>4545</v>
      </c>
      <c r="G218" s="1" t="s">
        <v>16</v>
      </c>
    </row>
    <row r="219" spans="1:10">
      <c r="A219" s="1" t="s">
        <v>13</v>
      </c>
      <c r="B219" s="2">
        <v>43683</v>
      </c>
      <c r="C219" s="1" t="s">
        <v>20</v>
      </c>
      <c r="D219" s="1" t="s">
        <v>38</v>
      </c>
      <c r="E219" s="3"/>
      <c r="F219" s="1">
        <v>3962</v>
      </c>
      <c r="G219" s="1" t="s">
        <v>22</v>
      </c>
    </row>
    <row r="220" spans="1:10">
      <c r="A220" s="1" t="s">
        <v>13</v>
      </c>
      <c r="B220" s="2">
        <v>43684</v>
      </c>
      <c r="C220" s="1" t="s">
        <v>24</v>
      </c>
      <c r="D220" s="1" t="s">
        <v>39</v>
      </c>
      <c r="E220" s="3"/>
      <c r="F220" s="1">
        <v>9638</v>
      </c>
      <c r="G220" s="1" t="s">
        <v>26</v>
      </c>
    </row>
    <row r="221" spans="1:10">
      <c r="A221" s="1" t="s">
        <v>13</v>
      </c>
      <c r="B221" s="2">
        <v>43685</v>
      </c>
      <c r="C221" s="1" t="s">
        <v>27</v>
      </c>
      <c r="D221" s="1" t="s">
        <v>40</v>
      </c>
      <c r="E221" s="3"/>
      <c r="F221" s="1">
        <v>6675</v>
      </c>
      <c r="G221" s="1" t="s">
        <v>29</v>
      </c>
    </row>
    <row r="222" spans="1:10">
      <c r="A222" s="1" t="s">
        <v>13</v>
      </c>
      <c r="B222" s="2">
        <v>43686</v>
      </c>
      <c r="C222" s="1" t="s">
        <v>30</v>
      </c>
      <c r="D222" s="1" t="s">
        <v>15</v>
      </c>
      <c r="E222" s="3"/>
      <c r="F222" s="1">
        <v>6484</v>
      </c>
      <c r="G222" s="1" t="s">
        <v>32</v>
      </c>
    </row>
    <row r="223" spans="1:10">
      <c r="A223" s="1" t="s">
        <v>13</v>
      </c>
      <c r="B223" s="2">
        <v>43687</v>
      </c>
      <c r="C223" s="1" t="s">
        <v>34</v>
      </c>
      <c r="D223" s="1" t="s">
        <v>21</v>
      </c>
      <c r="E223" s="3"/>
      <c r="F223" s="1">
        <v>8362</v>
      </c>
      <c r="G223" s="1" t="s">
        <v>36</v>
      </c>
    </row>
    <row r="224" spans="1:10">
      <c r="A224" s="1" t="s">
        <v>13</v>
      </c>
      <c r="B224" s="2">
        <v>43688</v>
      </c>
      <c r="C224" s="1" t="s">
        <v>14</v>
      </c>
      <c r="D224" s="1" t="s">
        <v>25</v>
      </c>
      <c r="E224" s="3"/>
      <c r="F224" s="1">
        <v>6625</v>
      </c>
      <c r="G224" s="1" t="s">
        <v>16</v>
      </c>
    </row>
    <row r="225" spans="1:7">
      <c r="A225" s="1" t="s">
        <v>13</v>
      </c>
      <c r="B225" s="2">
        <v>43689</v>
      </c>
      <c r="C225" s="1" t="s">
        <v>20</v>
      </c>
      <c r="D225" s="1" t="s">
        <v>28</v>
      </c>
      <c r="E225" s="3"/>
      <c r="F225" s="1">
        <v>1450</v>
      </c>
      <c r="G225" s="1" t="s">
        <v>22</v>
      </c>
    </row>
    <row r="226" spans="1:7">
      <c r="A226" s="1" t="s">
        <v>13</v>
      </c>
      <c r="B226" s="2">
        <v>43690</v>
      </c>
      <c r="C226" s="1" t="s">
        <v>24</v>
      </c>
      <c r="D226" s="1" t="s">
        <v>31</v>
      </c>
      <c r="E226" s="3"/>
      <c r="F226" s="1">
        <v>8647</v>
      </c>
      <c r="G226" s="1" t="s">
        <v>26</v>
      </c>
    </row>
    <row r="227" spans="1:7">
      <c r="A227" s="1" t="s">
        <v>13</v>
      </c>
      <c r="B227" s="2">
        <v>43691</v>
      </c>
      <c r="C227" s="1" t="s">
        <v>27</v>
      </c>
      <c r="D227" s="1" t="s">
        <v>35</v>
      </c>
      <c r="E227" s="3"/>
      <c r="F227" s="1">
        <v>9880</v>
      </c>
      <c r="G227" s="1" t="s">
        <v>29</v>
      </c>
    </row>
    <row r="228" spans="1:7">
      <c r="A228" s="1" t="s">
        <v>13</v>
      </c>
      <c r="B228" s="2">
        <v>43692</v>
      </c>
      <c r="C228" s="1" t="s">
        <v>30</v>
      </c>
      <c r="D228" s="1" t="s">
        <v>37</v>
      </c>
      <c r="E228" s="3"/>
      <c r="F228" s="1">
        <v>3642</v>
      </c>
      <c r="G228" s="1" t="s">
        <v>32</v>
      </c>
    </row>
    <row r="229" spans="1:7">
      <c r="A229" s="1" t="s">
        <v>13</v>
      </c>
      <c r="B229" s="2">
        <v>43693</v>
      </c>
      <c r="C229" s="1" t="s">
        <v>34</v>
      </c>
      <c r="D229" s="1" t="s">
        <v>38</v>
      </c>
      <c r="E229" s="3"/>
      <c r="F229" s="1">
        <v>8817</v>
      </c>
      <c r="G229" s="1" t="s">
        <v>36</v>
      </c>
    </row>
    <row r="230" spans="1:7">
      <c r="A230" s="1" t="s">
        <v>13</v>
      </c>
      <c r="B230" s="2">
        <v>43694</v>
      </c>
      <c r="C230" s="1" t="s">
        <v>14</v>
      </c>
      <c r="D230" s="1" t="s">
        <v>39</v>
      </c>
      <c r="E230" s="3"/>
      <c r="F230" s="1">
        <v>8658</v>
      </c>
      <c r="G230" s="1" t="s">
        <v>16</v>
      </c>
    </row>
    <row r="231" spans="1:7">
      <c r="A231" s="1" t="s">
        <v>13</v>
      </c>
      <c r="B231" s="2">
        <v>43695</v>
      </c>
      <c r="C231" s="1" t="s">
        <v>20</v>
      </c>
      <c r="D231" s="1" t="s">
        <v>40</v>
      </c>
      <c r="E231" s="3"/>
      <c r="F231" s="1">
        <v>1392</v>
      </c>
      <c r="G231" s="1" t="s">
        <v>22</v>
      </c>
    </row>
    <row r="232" spans="1:7">
      <c r="A232" s="1" t="s">
        <v>13</v>
      </c>
      <c r="B232" s="2">
        <v>43696</v>
      </c>
      <c r="C232" s="1" t="s">
        <v>24</v>
      </c>
      <c r="D232" s="1" t="s">
        <v>15</v>
      </c>
      <c r="E232" s="3"/>
      <c r="F232" s="1">
        <v>3716</v>
      </c>
      <c r="G232" s="1" t="s">
        <v>26</v>
      </c>
    </row>
    <row r="233" spans="1:7">
      <c r="A233" s="1" t="s">
        <v>13</v>
      </c>
      <c r="B233" s="2">
        <v>43697</v>
      </c>
      <c r="C233" s="1" t="s">
        <v>27</v>
      </c>
      <c r="D233" s="1" t="s">
        <v>21</v>
      </c>
      <c r="E233" s="3"/>
      <c r="F233" s="1">
        <v>1034</v>
      </c>
      <c r="G233" s="1" t="s">
        <v>29</v>
      </c>
    </row>
    <row r="234" spans="1:7">
      <c r="A234" s="1" t="s">
        <v>13</v>
      </c>
      <c r="B234" s="2">
        <v>43698</v>
      </c>
      <c r="C234" s="1" t="s">
        <v>30</v>
      </c>
      <c r="D234" s="1" t="s">
        <v>25</v>
      </c>
      <c r="E234" s="3"/>
      <c r="F234" s="1">
        <v>1230</v>
      </c>
      <c r="G234" s="1" t="s">
        <v>32</v>
      </c>
    </row>
    <row r="235" spans="1:7">
      <c r="A235" s="1" t="s">
        <v>13</v>
      </c>
      <c r="B235" s="2">
        <v>43699</v>
      </c>
      <c r="C235" s="1" t="s">
        <v>34</v>
      </c>
      <c r="D235" s="1" t="s">
        <v>28</v>
      </c>
      <c r="E235" s="3"/>
      <c r="F235" s="1">
        <v>2086</v>
      </c>
      <c r="G235" s="1" t="s">
        <v>36</v>
      </c>
    </row>
    <row r="236" spans="1:7">
      <c r="A236" s="1" t="s">
        <v>13</v>
      </c>
      <c r="B236" s="2">
        <v>43700</v>
      </c>
      <c r="C236" s="1" t="s">
        <v>14</v>
      </c>
      <c r="D236" s="1" t="s">
        <v>31</v>
      </c>
      <c r="E236" s="3"/>
      <c r="F236" s="1">
        <v>7278</v>
      </c>
      <c r="G236" s="1" t="s">
        <v>16</v>
      </c>
    </row>
    <row r="237" spans="1:7">
      <c r="A237" s="1" t="s">
        <v>13</v>
      </c>
      <c r="B237" s="2">
        <v>43701</v>
      </c>
      <c r="C237" s="1" t="s">
        <v>20</v>
      </c>
      <c r="D237" s="1" t="s">
        <v>35</v>
      </c>
      <c r="E237" s="3"/>
      <c r="F237" s="1">
        <v>3518</v>
      </c>
      <c r="G237" s="1" t="s">
        <v>22</v>
      </c>
    </row>
    <row r="238" spans="1:7">
      <c r="A238" s="1" t="s">
        <v>13</v>
      </c>
      <c r="B238" s="2">
        <v>43702</v>
      </c>
      <c r="C238" s="1" t="s">
        <v>24</v>
      </c>
      <c r="D238" s="1" t="s">
        <v>37</v>
      </c>
      <c r="E238" s="3"/>
      <c r="F238" s="1">
        <v>3601</v>
      </c>
      <c r="G238" s="1" t="s">
        <v>26</v>
      </c>
    </row>
    <row r="239" spans="1:7">
      <c r="A239" s="1" t="s">
        <v>13</v>
      </c>
      <c r="B239" s="2">
        <v>43703</v>
      </c>
      <c r="C239" s="1" t="s">
        <v>27</v>
      </c>
      <c r="D239" s="1" t="s">
        <v>38</v>
      </c>
      <c r="E239" s="3"/>
      <c r="F239" s="1">
        <v>5415</v>
      </c>
      <c r="G239" s="1" t="s">
        <v>29</v>
      </c>
    </row>
    <row r="240" spans="1:7">
      <c r="A240" s="1" t="s">
        <v>13</v>
      </c>
      <c r="B240" s="2">
        <v>43704</v>
      </c>
      <c r="C240" s="1" t="s">
        <v>30</v>
      </c>
      <c r="D240" s="1" t="s">
        <v>39</v>
      </c>
      <c r="E240" s="3"/>
      <c r="F240" s="1">
        <v>3412</v>
      </c>
      <c r="G240" s="1" t="s">
        <v>32</v>
      </c>
    </row>
    <row r="241" spans="1:7">
      <c r="A241" s="1" t="s">
        <v>13</v>
      </c>
      <c r="B241" s="2">
        <v>43705</v>
      </c>
      <c r="C241" s="1" t="s">
        <v>34</v>
      </c>
      <c r="D241" s="1" t="s">
        <v>40</v>
      </c>
      <c r="E241" s="3"/>
      <c r="F241" s="1">
        <v>7337</v>
      </c>
      <c r="G241" s="1" t="s">
        <v>36</v>
      </c>
    </row>
    <row r="242" spans="1:7">
      <c r="A242" s="1" t="s">
        <v>13</v>
      </c>
      <c r="B242" s="2">
        <v>43706</v>
      </c>
      <c r="C242" s="1" t="s">
        <v>14</v>
      </c>
      <c r="D242" s="1" t="s">
        <v>15</v>
      </c>
      <c r="E242" s="3"/>
      <c r="F242" s="1">
        <v>1651</v>
      </c>
      <c r="G242" s="1" t="s">
        <v>16</v>
      </c>
    </row>
    <row r="243" spans="1:7">
      <c r="A243" s="1" t="s">
        <v>13</v>
      </c>
      <c r="B243" s="2">
        <v>43707</v>
      </c>
      <c r="C243" s="1" t="s">
        <v>20</v>
      </c>
      <c r="D243" s="1" t="s">
        <v>21</v>
      </c>
      <c r="E243" s="3"/>
      <c r="F243" s="1">
        <v>6447</v>
      </c>
      <c r="G243" s="1" t="s">
        <v>22</v>
      </c>
    </row>
    <row r="244" spans="1:7">
      <c r="A244" s="1" t="s">
        <v>13</v>
      </c>
      <c r="B244" s="2">
        <v>43708</v>
      </c>
      <c r="C244" s="1" t="s">
        <v>24</v>
      </c>
      <c r="D244" s="1" t="s">
        <v>25</v>
      </c>
      <c r="E244" s="3"/>
      <c r="F244" s="1">
        <v>8315</v>
      </c>
      <c r="G244" s="1" t="s">
        <v>26</v>
      </c>
    </row>
    <row r="245" spans="1:7">
      <c r="A245" s="1" t="s">
        <v>13</v>
      </c>
      <c r="B245" s="2">
        <v>43709</v>
      </c>
      <c r="C245" s="1" t="s">
        <v>27</v>
      </c>
      <c r="D245" s="1" t="s">
        <v>28</v>
      </c>
      <c r="E245" s="3"/>
      <c r="F245" s="1">
        <v>9866</v>
      </c>
      <c r="G245" s="1" t="s">
        <v>29</v>
      </c>
    </row>
    <row r="246" spans="1:7">
      <c r="A246" s="1" t="s">
        <v>13</v>
      </c>
      <c r="B246" s="2">
        <v>43710</v>
      </c>
      <c r="C246" s="1" t="s">
        <v>30</v>
      </c>
      <c r="D246" s="1" t="s">
        <v>31</v>
      </c>
      <c r="E246" s="3"/>
      <c r="F246" s="1">
        <v>5929</v>
      </c>
      <c r="G246" s="1" t="s">
        <v>32</v>
      </c>
    </row>
    <row r="247" spans="1:7">
      <c r="A247" s="1" t="s">
        <v>13</v>
      </c>
      <c r="B247" s="2">
        <v>43711</v>
      </c>
      <c r="C247" s="1" t="s">
        <v>34</v>
      </c>
      <c r="D247" s="1" t="s">
        <v>35</v>
      </c>
      <c r="E247" s="3"/>
      <c r="F247" s="1">
        <v>2233</v>
      </c>
      <c r="G247" s="1" t="s">
        <v>36</v>
      </c>
    </row>
    <row r="248" spans="1:7">
      <c r="A248" s="1" t="s">
        <v>13</v>
      </c>
      <c r="B248" s="2">
        <v>43712</v>
      </c>
      <c r="C248" s="1" t="s">
        <v>14</v>
      </c>
      <c r="D248" s="1" t="s">
        <v>37</v>
      </c>
      <c r="E248" s="3"/>
      <c r="F248" s="1">
        <v>2427</v>
      </c>
      <c r="G248" s="1" t="s">
        <v>16</v>
      </c>
    </row>
    <row r="249" spans="1:7">
      <c r="A249" s="1" t="s">
        <v>13</v>
      </c>
      <c r="B249" s="2">
        <v>43713</v>
      </c>
      <c r="C249" s="1" t="s">
        <v>20</v>
      </c>
      <c r="D249" s="1" t="s">
        <v>38</v>
      </c>
      <c r="E249" s="3"/>
      <c r="F249" s="1">
        <v>2397</v>
      </c>
      <c r="G249" s="1" t="s">
        <v>22</v>
      </c>
    </row>
    <row r="250" spans="1:7">
      <c r="A250" s="1" t="s">
        <v>13</v>
      </c>
      <c r="B250" s="2">
        <v>43714</v>
      </c>
      <c r="C250" s="1" t="s">
        <v>24</v>
      </c>
      <c r="D250" s="1" t="s">
        <v>39</v>
      </c>
      <c r="E250" s="3"/>
      <c r="F250" s="1">
        <v>4508</v>
      </c>
      <c r="G250" s="1" t="s">
        <v>26</v>
      </c>
    </row>
    <row r="251" spans="1:7">
      <c r="A251" s="1" t="s">
        <v>13</v>
      </c>
      <c r="B251" s="2">
        <v>43715</v>
      </c>
      <c r="C251" s="1" t="s">
        <v>27</v>
      </c>
      <c r="D251" s="1" t="s">
        <v>40</v>
      </c>
      <c r="E251" s="3"/>
      <c r="F251" s="1">
        <v>9902</v>
      </c>
      <c r="G251" s="1" t="s">
        <v>29</v>
      </c>
    </row>
    <row r="252" spans="1:7">
      <c r="A252" s="1" t="s">
        <v>13</v>
      </c>
      <c r="B252" s="2">
        <v>43716</v>
      </c>
      <c r="C252" s="1" t="s">
        <v>30</v>
      </c>
      <c r="D252" s="1" t="s">
        <v>15</v>
      </c>
      <c r="E252" s="3"/>
      <c r="F252" s="1">
        <v>6326</v>
      </c>
      <c r="G252" s="1" t="s">
        <v>32</v>
      </c>
    </row>
    <row r="253" spans="1:7">
      <c r="A253" s="1" t="s">
        <v>13</v>
      </c>
      <c r="B253" s="2">
        <v>43717</v>
      </c>
      <c r="C253" s="1" t="s">
        <v>34</v>
      </c>
      <c r="D253" s="1" t="s">
        <v>21</v>
      </c>
      <c r="E253" s="3"/>
      <c r="F253" s="1">
        <v>8696</v>
      </c>
      <c r="G253" s="1" t="s">
        <v>36</v>
      </c>
    </row>
    <row r="254" spans="1:7">
      <c r="A254" s="1" t="s">
        <v>13</v>
      </c>
      <c r="B254" s="2">
        <v>43718</v>
      </c>
      <c r="C254" s="1" t="s">
        <v>14</v>
      </c>
      <c r="D254" s="1" t="s">
        <v>25</v>
      </c>
      <c r="E254" s="3"/>
      <c r="F254" s="1">
        <v>7936</v>
      </c>
      <c r="G254" s="1" t="s">
        <v>16</v>
      </c>
    </row>
    <row r="255" spans="1:7">
      <c r="A255" s="1" t="s">
        <v>13</v>
      </c>
      <c r="B255" s="2">
        <v>43719</v>
      </c>
      <c r="C255" s="1" t="s">
        <v>20</v>
      </c>
      <c r="D255" s="1" t="s">
        <v>28</v>
      </c>
      <c r="E255" s="3"/>
      <c r="F255" s="1">
        <v>2960</v>
      </c>
      <c r="G255" s="1" t="s">
        <v>22</v>
      </c>
    </row>
    <row r="256" spans="1:7">
      <c r="A256" s="1" t="s">
        <v>13</v>
      </c>
      <c r="B256" s="2">
        <v>43720</v>
      </c>
      <c r="C256" s="1" t="s">
        <v>24</v>
      </c>
      <c r="D256" s="1" t="s">
        <v>31</v>
      </c>
      <c r="E256" s="3"/>
      <c r="F256" s="1">
        <v>2113</v>
      </c>
      <c r="G256" s="1" t="s">
        <v>26</v>
      </c>
    </row>
    <row r="257" spans="1:7">
      <c r="A257" s="1" t="s">
        <v>13</v>
      </c>
      <c r="B257" s="2">
        <v>43721</v>
      </c>
      <c r="C257" s="1" t="s">
        <v>27</v>
      </c>
      <c r="D257" s="1" t="s">
        <v>35</v>
      </c>
      <c r="E257" s="3"/>
      <c r="F257" s="1">
        <v>8166</v>
      </c>
      <c r="G257" s="1" t="s">
        <v>29</v>
      </c>
    </row>
    <row r="258" spans="1:7">
      <c r="A258" s="1" t="s">
        <v>13</v>
      </c>
      <c r="B258" s="2">
        <v>43722</v>
      </c>
      <c r="C258" s="1" t="s">
        <v>30</v>
      </c>
      <c r="D258" s="1" t="s">
        <v>37</v>
      </c>
      <c r="E258" s="3"/>
      <c r="F258" s="1">
        <v>8276</v>
      </c>
      <c r="G258" s="1" t="s">
        <v>32</v>
      </c>
    </row>
    <row r="259" spans="1:7">
      <c r="A259" s="1" t="s">
        <v>13</v>
      </c>
      <c r="B259" s="2">
        <v>43723</v>
      </c>
      <c r="C259" s="1" t="s">
        <v>34</v>
      </c>
      <c r="D259" s="1" t="s">
        <v>38</v>
      </c>
      <c r="E259" s="3"/>
      <c r="F259" s="1">
        <v>8192</v>
      </c>
      <c r="G259" s="1" t="s">
        <v>36</v>
      </c>
    </row>
    <row r="260" spans="1:7">
      <c r="A260" s="1" t="s">
        <v>13</v>
      </c>
      <c r="B260" s="2">
        <v>43724</v>
      </c>
      <c r="C260" s="1" t="s">
        <v>14</v>
      </c>
      <c r="D260" s="1" t="s">
        <v>39</v>
      </c>
      <c r="E260" s="3"/>
      <c r="F260" s="1">
        <v>5374</v>
      </c>
      <c r="G260" s="1" t="s">
        <v>16</v>
      </c>
    </row>
    <row r="261" spans="1:7">
      <c r="A261" s="1" t="s">
        <v>13</v>
      </c>
      <c r="B261" s="2">
        <v>43725</v>
      </c>
      <c r="C261" s="1" t="s">
        <v>20</v>
      </c>
      <c r="D261" s="1" t="s">
        <v>40</v>
      </c>
      <c r="E261" s="3"/>
      <c r="F261" s="1">
        <v>9064</v>
      </c>
      <c r="G261" s="1" t="s">
        <v>22</v>
      </c>
    </row>
    <row r="262" spans="1:7">
      <c r="A262" s="1" t="s">
        <v>13</v>
      </c>
      <c r="B262" s="2">
        <v>43726</v>
      </c>
      <c r="C262" s="1" t="s">
        <v>24</v>
      </c>
      <c r="D262" s="1" t="s">
        <v>15</v>
      </c>
      <c r="E262" s="3"/>
      <c r="F262" s="1">
        <v>7467</v>
      </c>
      <c r="G262" s="1" t="s">
        <v>26</v>
      </c>
    </row>
    <row r="263" spans="1:7">
      <c r="A263" s="1" t="s">
        <v>13</v>
      </c>
      <c r="B263" s="2">
        <v>43727</v>
      </c>
      <c r="C263" s="1" t="s">
        <v>27</v>
      </c>
      <c r="D263" s="1" t="s">
        <v>21</v>
      </c>
      <c r="E263" s="3"/>
      <c r="F263" s="1">
        <v>4491</v>
      </c>
      <c r="G263" s="1" t="s">
        <v>29</v>
      </c>
    </row>
    <row r="264" spans="1:7">
      <c r="A264" s="1" t="s">
        <v>13</v>
      </c>
      <c r="B264" s="2">
        <v>43728</v>
      </c>
      <c r="C264" s="1" t="s">
        <v>30</v>
      </c>
      <c r="D264" s="1" t="s">
        <v>25</v>
      </c>
      <c r="E264" s="3"/>
      <c r="F264" s="1">
        <v>7980</v>
      </c>
      <c r="G264" s="1" t="s">
        <v>32</v>
      </c>
    </row>
    <row r="265" spans="1:7">
      <c r="A265" s="1" t="s">
        <v>13</v>
      </c>
      <c r="B265" s="2">
        <v>43729</v>
      </c>
      <c r="C265" s="1" t="s">
        <v>34</v>
      </c>
      <c r="D265" s="1" t="s">
        <v>28</v>
      </c>
      <c r="E265" s="3"/>
      <c r="F265" s="1">
        <v>8285</v>
      </c>
      <c r="G265" s="1" t="s">
        <v>36</v>
      </c>
    </row>
    <row r="266" spans="1:7">
      <c r="A266" s="1" t="s">
        <v>13</v>
      </c>
      <c r="B266" s="2">
        <v>43730</v>
      </c>
      <c r="C266" s="1" t="s">
        <v>14</v>
      </c>
      <c r="D266" s="1" t="s">
        <v>31</v>
      </c>
      <c r="E266" s="3"/>
      <c r="F266" s="1">
        <v>7207</v>
      </c>
      <c r="G266" s="1" t="s">
        <v>16</v>
      </c>
    </row>
    <row r="267" spans="1:7">
      <c r="A267" s="1" t="s">
        <v>13</v>
      </c>
      <c r="B267" s="2">
        <v>43731</v>
      </c>
      <c r="C267" s="1" t="s">
        <v>20</v>
      </c>
      <c r="D267" s="1" t="s">
        <v>35</v>
      </c>
      <c r="E267" s="3"/>
      <c r="F267" s="1">
        <v>4895</v>
      </c>
      <c r="G267" s="1" t="s">
        <v>22</v>
      </c>
    </row>
    <row r="268" spans="1:7">
      <c r="A268" s="1" t="s">
        <v>13</v>
      </c>
      <c r="B268" s="2">
        <v>43732</v>
      </c>
      <c r="C268" s="1" t="s">
        <v>24</v>
      </c>
      <c r="D268" s="1" t="s">
        <v>37</v>
      </c>
      <c r="E268" s="3"/>
      <c r="F268" s="1">
        <v>1019</v>
      </c>
      <c r="G268" s="1" t="s">
        <v>26</v>
      </c>
    </row>
    <row r="269" spans="1:7">
      <c r="A269" s="1" t="s">
        <v>13</v>
      </c>
      <c r="B269" s="2">
        <v>43733</v>
      </c>
      <c r="C269" s="1" t="s">
        <v>27</v>
      </c>
      <c r="D269" s="1" t="s">
        <v>38</v>
      </c>
      <c r="E269" s="3"/>
      <c r="F269" s="1">
        <v>2347</v>
      </c>
      <c r="G269" s="1" t="s">
        <v>29</v>
      </c>
    </row>
    <row r="270" spans="1:7">
      <c r="A270" s="1" t="s">
        <v>13</v>
      </c>
      <c r="B270" s="2">
        <v>43734</v>
      </c>
      <c r="C270" s="1" t="s">
        <v>30</v>
      </c>
      <c r="D270" s="1" t="s">
        <v>39</v>
      </c>
      <c r="E270" s="3"/>
      <c r="F270" s="1">
        <v>2162</v>
      </c>
      <c r="G270" s="1" t="s">
        <v>32</v>
      </c>
    </row>
    <row r="271" spans="1:7">
      <c r="A271" s="1" t="s">
        <v>13</v>
      </c>
      <c r="B271" s="2">
        <v>43735</v>
      </c>
      <c r="C271" s="1" t="s">
        <v>34</v>
      </c>
      <c r="D271" s="1" t="s">
        <v>40</v>
      </c>
      <c r="E271" s="3"/>
      <c r="F271" s="1">
        <v>6152</v>
      </c>
      <c r="G271" s="1" t="s">
        <v>36</v>
      </c>
    </row>
    <row r="272" spans="1:7">
      <c r="A272" s="1" t="s">
        <v>13</v>
      </c>
      <c r="B272" s="2">
        <v>43736</v>
      </c>
      <c r="C272" s="1" t="s">
        <v>14</v>
      </c>
      <c r="D272" s="1" t="s">
        <v>15</v>
      </c>
      <c r="E272" s="3"/>
      <c r="F272" s="1">
        <v>7937</v>
      </c>
      <c r="G272" s="1" t="s">
        <v>16</v>
      </c>
    </row>
    <row r="273" spans="1:7">
      <c r="A273" s="1" t="s">
        <v>13</v>
      </c>
      <c r="B273" s="2">
        <v>43737</v>
      </c>
      <c r="C273" s="1" t="s">
        <v>20</v>
      </c>
      <c r="D273" s="1" t="s">
        <v>21</v>
      </c>
      <c r="E273" s="3"/>
      <c r="F273" s="1">
        <v>6254</v>
      </c>
      <c r="G273" s="1" t="s">
        <v>22</v>
      </c>
    </row>
    <row r="274" spans="1:7">
      <c r="A274" s="1" t="s">
        <v>13</v>
      </c>
      <c r="B274" s="2">
        <v>43738</v>
      </c>
      <c r="C274" s="1" t="s">
        <v>24</v>
      </c>
      <c r="D274" s="1" t="s">
        <v>25</v>
      </c>
      <c r="E274" s="3"/>
      <c r="F274" s="1">
        <v>5254</v>
      </c>
      <c r="G274" s="1" t="s">
        <v>26</v>
      </c>
    </row>
    <row r="275" spans="1:7">
      <c r="A275" s="1" t="s">
        <v>13</v>
      </c>
      <c r="B275" s="2">
        <v>43739</v>
      </c>
      <c r="C275" s="1" t="s">
        <v>27</v>
      </c>
      <c r="D275" s="1" t="s">
        <v>28</v>
      </c>
      <c r="E275" s="3"/>
      <c r="F275" s="1">
        <v>2287</v>
      </c>
      <c r="G275" s="1" t="s">
        <v>29</v>
      </c>
    </row>
    <row r="276" spans="1:7">
      <c r="A276" s="1" t="s">
        <v>13</v>
      </c>
      <c r="B276" s="2">
        <v>43740</v>
      </c>
      <c r="C276" s="1" t="s">
        <v>30</v>
      </c>
      <c r="D276" s="1" t="s">
        <v>31</v>
      </c>
      <c r="E276" s="3"/>
      <c r="F276" s="1">
        <v>3857</v>
      </c>
      <c r="G276" s="1" t="s">
        <v>32</v>
      </c>
    </row>
    <row r="277" spans="1:7">
      <c r="A277" s="1" t="s">
        <v>13</v>
      </c>
      <c r="B277" s="2">
        <v>43741</v>
      </c>
      <c r="C277" s="1" t="s">
        <v>34</v>
      </c>
      <c r="D277" s="1" t="s">
        <v>35</v>
      </c>
      <c r="E277" s="3"/>
      <c r="F277" s="1">
        <v>7510</v>
      </c>
      <c r="G277" s="1" t="s">
        <v>36</v>
      </c>
    </row>
    <row r="278" spans="1:7">
      <c r="A278" s="1" t="s">
        <v>13</v>
      </c>
      <c r="B278" s="2">
        <v>43742</v>
      </c>
      <c r="C278" s="1" t="s">
        <v>14</v>
      </c>
      <c r="D278" s="1" t="s">
        <v>37</v>
      </c>
      <c r="E278" s="3"/>
      <c r="F278" s="1">
        <v>2763</v>
      </c>
      <c r="G278" s="1" t="s">
        <v>16</v>
      </c>
    </row>
    <row r="279" spans="1:7">
      <c r="A279" s="1" t="s">
        <v>13</v>
      </c>
      <c r="B279" s="2">
        <v>43743</v>
      </c>
      <c r="C279" s="1" t="s">
        <v>20</v>
      </c>
      <c r="D279" s="1" t="s">
        <v>38</v>
      </c>
      <c r="E279" s="3"/>
      <c r="F279" s="1">
        <v>8484</v>
      </c>
      <c r="G279" s="1" t="s">
        <v>22</v>
      </c>
    </row>
    <row r="280" spans="1:7">
      <c r="A280" s="1" t="s">
        <v>13</v>
      </c>
      <c r="B280" s="2">
        <v>43744</v>
      </c>
      <c r="C280" s="1" t="s">
        <v>24</v>
      </c>
      <c r="D280" s="1" t="s">
        <v>39</v>
      </c>
      <c r="E280" s="3"/>
      <c r="F280" s="1">
        <v>9038</v>
      </c>
      <c r="G280" s="1" t="s">
        <v>26</v>
      </c>
    </row>
    <row r="281" spans="1:7">
      <c r="A281" s="1" t="s">
        <v>13</v>
      </c>
      <c r="B281" s="2">
        <v>43745</v>
      </c>
      <c r="C281" s="1" t="s">
        <v>27</v>
      </c>
      <c r="D281" s="1" t="s">
        <v>40</v>
      </c>
      <c r="E281" s="3"/>
      <c r="F281" s="1">
        <v>8027</v>
      </c>
      <c r="G281" s="1" t="s">
        <v>29</v>
      </c>
    </row>
    <row r="282" spans="1:7">
      <c r="A282" s="1" t="s">
        <v>13</v>
      </c>
      <c r="B282" s="2">
        <v>43746</v>
      </c>
      <c r="C282" s="1" t="s">
        <v>30</v>
      </c>
      <c r="D282" s="1" t="s">
        <v>15</v>
      </c>
      <c r="E282" s="3"/>
      <c r="F282" s="1">
        <v>4482</v>
      </c>
      <c r="G282" s="1" t="s">
        <v>32</v>
      </c>
    </row>
    <row r="283" spans="1:7">
      <c r="A283" s="1" t="s">
        <v>13</v>
      </c>
      <c r="B283" s="2">
        <v>43747</v>
      </c>
      <c r="C283" s="1" t="s">
        <v>34</v>
      </c>
      <c r="D283" s="1" t="s">
        <v>21</v>
      </c>
      <c r="E283" s="3"/>
      <c r="F283" s="1">
        <v>1471</v>
      </c>
      <c r="G283" s="1" t="s">
        <v>36</v>
      </c>
    </row>
    <row r="284" spans="1:7">
      <c r="A284" s="1" t="s">
        <v>13</v>
      </c>
      <c r="B284" s="2">
        <v>43748</v>
      </c>
      <c r="C284" s="1" t="s">
        <v>14</v>
      </c>
      <c r="D284" s="1" t="s">
        <v>25</v>
      </c>
      <c r="E284" s="3"/>
      <c r="F284" s="1">
        <v>5095</v>
      </c>
      <c r="G284" s="1" t="s">
        <v>16</v>
      </c>
    </row>
    <row r="285" spans="1:7">
      <c r="A285" s="1" t="s">
        <v>13</v>
      </c>
      <c r="B285" s="2">
        <v>43749</v>
      </c>
      <c r="C285" s="1" t="s">
        <v>20</v>
      </c>
      <c r="D285" s="1" t="s">
        <v>28</v>
      </c>
      <c r="E285" s="3"/>
      <c r="F285" s="1">
        <v>9043</v>
      </c>
      <c r="G285" s="1" t="s">
        <v>22</v>
      </c>
    </row>
    <row r="286" spans="1:7">
      <c r="A286" s="1" t="s">
        <v>13</v>
      </c>
      <c r="B286" s="2">
        <v>43750</v>
      </c>
      <c r="C286" s="1" t="s">
        <v>24</v>
      </c>
      <c r="D286" s="1" t="s">
        <v>31</v>
      </c>
      <c r="E286" s="3"/>
      <c r="F286" s="1">
        <v>1762</v>
      </c>
      <c r="G286" s="1" t="s">
        <v>26</v>
      </c>
    </row>
    <row r="287" spans="1:7">
      <c r="A287" s="1" t="s">
        <v>13</v>
      </c>
      <c r="B287" s="2">
        <v>43751</v>
      </c>
      <c r="C287" s="1" t="s">
        <v>27</v>
      </c>
      <c r="D287" s="1" t="s">
        <v>35</v>
      </c>
      <c r="E287" s="3"/>
      <c r="F287" s="1">
        <v>2995</v>
      </c>
      <c r="G287" s="1" t="s">
        <v>29</v>
      </c>
    </row>
    <row r="288" spans="1:7">
      <c r="A288" s="1" t="s">
        <v>13</v>
      </c>
      <c r="B288" s="2">
        <v>43752</v>
      </c>
      <c r="C288" s="1" t="s">
        <v>30</v>
      </c>
      <c r="D288" s="1" t="s">
        <v>37</v>
      </c>
      <c r="E288" s="3"/>
      <c r="F288" s="1">
        <v>2982</v>
      </c>
      <c r="G288" s="1" t="s">
        <v>32</v>
      </c>
    </row>
    <row r="289" spans="1:7">
      <c r="A289" s="1" t="s">
        <v>13</v>
      </c>
      <c r="B289" s="2">
        <v>43753</v>
      </c>
      <c r="C289" s="1" t="s">
        <v>34</v>
      </c>
      <c r="D289" s="1" t="s">
        <v>38</v>
      </c>
      <c r="E289" s="3"/>
      <c r="F289" s="1">
        <v>6735</v>
      </c>
      <c r="G289" s="1" t="s">
        <v>36</v>
      </c>
    </row>
    <row r="290" spans="1:7">
      <c r="A290" s="1" t="s">
        <v>13</v>
      </c>
      <c r="B290" s="2">
        <v>43754</v>
      </c>
      <c r="C290" s="1" t="s">
        <v>14</v>
      </c>
      <c r="D290" s="1" t="s">
        <v>39</v>
      </c>
      <c r="E290" s="3"/>
      <c r="F290" s="1">
        <v>4336</v>
      </c>
      <c r="G290" s="1" t="s">
        <v>16</v>
      </c>
    </row>
    <row r="291" spans="1:7">
      <c r="A291" s="1" t="s">
        <v>13</v>
      </c>
      <c r="B291" s="2">
        <v>43755</v>
      </c>
      <c r="C291" s="1" t="s">
        <v>20</v>
      </c>
      <c r="D291" s="1" t="s">
        <v>40</v>
      </c>
      <c r="E291" s="3"/>
      <c r="F291" s="1">
        <v>1904</v>
      </c>
      <c r="G291" s="1" t="s">
        <v>22</v>
      </c>
    </row>
    <row r="292" spans="1:7">
      <c r="A292" s="1" t="s">
        <v>13</v>
      </c>
      <c r="B292" s="2">
        <v>43756</v>
      </c>
      <c r="C292" s="1" t="s">
        <v>24</v>
      </c>
      <c r="D292" s="1" t="s">
        <v>15</v>
      </c>
      <c r="E292" s="3"/>
      <c r="F292" s="1">
        <v>6141</v>
      </c>
      <c r="G292" s="1" t="s">
        <v>26</v>
      </c>
    </row>
    <row r="293" spans="1:7">
      <c r="A293" s="1" t="s">
        <v>13</v>
      </c>
      <c r="B293" s="2">
        <v>43757</v>
      </c>
      <c r="C293" s="1" t="s">
        <v>27</v>
      </c>
      <c r="D293" s="1" t="s">
        <v>21</v>
      </c>
      <c r="E293" s="3"/>
      <c r="F293" s="1">
        <v>8173</v>
      </c>
      <c r="G293" s="1" t="s">
        <v>29</v>
      </c>
    </row>
    <row r="294" spans="1:7">
      <c r="A294" s="1" t="s">
        <v>13</v>
      </c>
      <c r="B294" s="2">
        <v>43758</v>
      </c>
      <c r="C294" s="1" t="s">
        <v>30</v>
      </c>
      <c r="D294" s="1" t="s">
        <v>25</v>
      </c>
      <c r="E294" s="3"/>
      <c r="F294" s="1">
        <v>9414</v>
      </c>
      <c r="G294" s="1" t="s">
        <v>32</v>
      </c>
    </row>
    <row r="295" spans="1:7">
      <c r="A295" s="1" t="s">
        <v>13</v>
      </c>
      <c r="B295" s="2">
        <v>43759</v>
      </c>
      <c r="C295" s="1" t="s">
        <v>34</v>
      </c>
      <c r="D295" s="1" t="s">
        <v>28</v>
      </c>
      <c r="E295" s="3"/>
      <c r="F295" s="1">
        <v>9432</v>
      </c>
      <c r="G295" s="1" t="s">
        <v>36</v>
      </c>
    </row>
    <row r="296" spans="1:7">
      <c r="A296" s="1" t="s">
        <v>13</v>
      </c>
      <c r="B296" s="2">
        <v>43760</v>
      </c>
      <c r="C296" s="1" t="s">
        <v>14</v>
      </c>
      <c r="D296" s="1" t="s">
        <v>31</v>
      </c>
      <c r="E296" s="3"/>
      <c r="F296" s="1">
        <v>6647</v>
      </c>
      <c r="G296" s="1" t="s">
        <v>16</v>
      </c>
    </row>
    <row r="297" spans="1:7">
      <c r="A297" s="1" t="s">
        <v>13</v>
      </c>
      <c r="B297" s="2">
        <v>43761</v>
      </c>
      <c r="C297" s="1" t="s">
        <v>20</v>
      </c>
      <c r="D297" s="1" t="s">
        <v>35</v>
      </c>
      <c r="E297" s="3"/>
      <c r="F297" s="1">
        <v>2285</v>
      </c>
      <c r="G297" s="1" t="s">
        <v>22</v>
      </c>
    </row>
    <row r="298" spans="1:7">
      <c r="A298" s="1" t="s">
        <v>13</v>
      </c>
      <c r="B298" s="2">
        <v>43762</v>
      </c>
      <c r="C298" s="1" t="s">
        <v>24</v>
      </c>
      <c r="D298" s="1" t="s">
        <v>37</v>
      </c>
      <c r="E298" s="3"/>
      <c r="F298" s="1">
        <v>8513</v>
      </c>
      <c r="G298" s="1" t="s">
        <v>26</v>
      </c>
    </row>
    <row r="299" spans="1:7">
      <c r="A299" s="1" t="s">
        <v>13</v>
      </c>
      <c r="B299" s="2">
        <v>43763</v>
      </c>
      <c r="C299" s="1" t="s">
        <v>27</v>
      </c>
      <c r="D299" s="1" t="s">
        <v>38</v>
      </c>
      <c r="E299" s="3"/>
      <c r="F299" s="1">
        <v>3136</v>
      </c>
      <c r="G299" s="1" t="s">
        <v>29</v>
      </c>
    </row>
    <row r="300" spans="1:7">
      <c r="A300" s="1" t="s">
        <v>13</v>
      </c>
      <c r="B300" s="2">
        <v>43764</v>
      </c>
      <c r="C300" s="1" t="s">
        <v>30</v>
      </c>
      <c r="D300" s="1" t="s">
        <v>39</v>
      </c>
      <c r="E300" s="3"/>
      <c r="F300" s="1">
        <v>8795</v>
      </c>
      <c r="G300" s="1" t="s">
        <v>32</v>
      </c>
    </row>
    <row r="301" spans="1:7">
      <c r="A301" s="1" t="s">
        <v>13</v>
      </c>
      <c r="B301" s="2">
        <v>43765</v>
      </c>
      <c r="C301" s="1" t="s">
        <v>34</v>
      </c>
      <c r="D301" s="1" t="s">
        <v>40</v>
      </c>
      <c r="E301" s="3"/>
      <c r="F301" s="1">
        <v>8893</v>
      </c>
      <c r="G301" s="1" t="s">
        <v>36</v>
      </c>
    </row>
    <row r="302" spans="1:7">
      <c r="A302" s="1" t="s">
        <v>13</v>
      </c>
      <c r="B302" s="2">
        <v>43766</v>
      </c>
      <c r="C302" s="1" t="s">
        <v>14</v>
      </c>
      <c r="D302" s="1" t="s">
        <v>15</v>
      </c>
      <c r="E302" s="3"/>
      <c r="F302" s="1">
        <v>6739</v>
      </c>
      <c r="G302" s="1" t="s">
        <v>16</v>
      </c>
    </row>
    <row r="303" spans="1:7">
      <c r="A303" s="1" t="s">
        <v>13</v>
      </c>
      <c r="B303" s="2">
        <v>43767</v>
      </c>
      <c r="C303" s="1" t="s">
        <v>20</v>
      </c>
      <c r="D303" s="1" t="s">
        <v>21</v>
      </c>
      <c r="E303" s="3"/>
      <c r="F303" s="1">
        <v>2511</v>
      </c>
      <c r="G303" s="1" t="s">
        <v>22</v>
      </c>
    </row>
    <row r="304" spans="1:7">
      <c r="A304" s="1" t="s">
        <v>13</v>
      </c>
      <c r="B304" s="2">
        <v>43768</v>
      </c>
      <c r="C304" s="1" t="s">
        <v>24</v>
      </c>
      <c r="D304" s="1" t="s">
        <v>25</v>
      </c>
      <c r="E304" s="3"/>
      <c r="F304" s="1">
        <v>7529</v>
      </c>
      <c r="G304" s="1" t="s">
        <v>26</v>
      </c>
    </row>
    <row r="305" spans="1:7">
      <c r="A305" s="1" t="s">
        <v>13</v>
      </c>
      <c r="B305" s="2">
        <v>43769</v>
      </c>
      <c r="C305" s="1" t="s">
        <v>27</v>
      </c>
      <c r="D305" s="1" t="s">
        <v>28</v>
      </c>
      <c r="E305" s="3"/>
      <c r="F305" s="1">
        <v>1180</v>
      </c>
      <c r="G305" s="1" t="s">
        <v>29</v>
      </c>
    </row>
    <row r="306" spans="1:7">
      <c r="A306" s="1" t="s">
        <v>13</v>
      </c>
      <c r="B306" s="2">
        <v>43770</v>
      </c>
      <c r="C306" s="1" t="s">
        <v>30</v>
      </c>
      <c r="D306" s="1" t="s">
        <v>31</v>
      </c>
      <c r="E306" s="3"/>
      <c r="F306" s="1">
        <v>8887</v>
      </c>
      <c r="G306" s="1" t="s">
        <v>32</v>
      </c>
    </row>
    <row r="307" spans="1:7">
      <c r="A307" s="1" t="s">
        <v>13</v>
      </c>
      <c r="B307" s="2">
        <v>43771</v>
      </c>
      <c r="C307" s="1" t="s">
        <v>34</v>
      </c>
      <c r="D307" s="1" t="s">
        <v>35</v>
      </c>
      <c r="E307" s="3"/>
      <c r="F307" s="1">
        <v>9215</v>
      </c>
      <c r="G307" s="1" t="s">
        <v>36</v>
      </c>
    </row>
    <row r="308" spans="1:7">
      <c r="A308" s="1" t="s">
        <v>13</v>
      </c>
      <c r="B308" s="2">
        <v>43772</v>
      </c>
      <c r="C308" s="1" t="s">
        <v>14</v>
      </c>
      <c r="D308" s="1" t="s">
        <v>37</v>
      </c>
      <c r="E308" s="3"/>
      <c r="F308" s="1">
        <v>1115</v>
      </c>
      <c r="G308" s="1" t="s">
        <v>16</v>
      </c>
    </row>
    <row r="309" spans="1:7">
      <c r="A309" s="1" t="s">
        <v>13</v>
      </c>
      <c r="B309" s="2">
        <v>43773</v>
      </c>
      <c r="C309" s="1" t="s">
        <v>20</v>
      </c>
      <c r="D309" s="1" t="s">
        <v>38</v>
      </c>
      <c r="E309" s="3"/>
      <c r="F309" s="1">
        <v>9177</v>
      </c>
      <c r="G309" s="1" t="s">
        <v>22</v>
      </c>
    </row>
    <row r="310" spans="1:7">
      <c r="A310" s="1" t="s">
        <v>13</v>
      </c>
      <c r="B310" s="2">
        <v>43774</v>
      </c>
      <c r="C310" s="1" t="s">
        <v>24</v>
      </c>
      <c r="D310" s="1" t="s">
        <v>39</v>
      </c>
      <c r="E310" s="3"/>
      <c r="F310" s="1">
        <v>6309</v>
      </c>
      <c r="G310" s="1" t="s">
        <v>26</v>
      </c>
    </row>
    <row r="311" spans="1:7">
      <c r="A311" s="1" t="s">
        <v>13</v>
      </c>
      <c r="B311" s="2">
        <v>43775</v>
      </c>
      <c r="C311" s="1" t="s">
        <v>27</v>
      </c>
      <c r="D311" s="1" t="s">
        <v>40</v>
      </c>
      <c r="E311" s="3"/>
      <c r="F311" s="1">
        <v>7924</v>
      </c>
      <c r="G311" s="1" t="s">
        <v>29</v>
      </c>
    </row>
    <row r="312" spans="1:7">
      <c r="A312" s="1" t="s">
        <v>13</v>
      </c>
      <c r="B312" s="2">
        <v>43776</v>
      </c>
      <c r="C312" s="1" t="s">
        <v>30</v>
      </c>
      <c r="D312" s="1" t="s">
        <v>15</v>
      </c>
      <c r="E312" s="3"/>
      <c r="F312" s="1">
        <v>6227</v>
      </c>
      <c r="G312" s="1" t="s">
        <v>32</v>
      </c>
    </row>
    <row r="313" spans="1:7">
      <c r="A313" s="1" t="s">
        <v>13</v>
      </c>
      <c r="B313" s="2">
        <v>43777</v>
      </c>
      <c r="C313" s="1" t="s">
        <v>34</v>
      </c>
      <c r="D313" s="1" t="s">
        <v>21</v>
      </c>
      <c r="E313" s="3"/>
      <c r="F313" s="1">
        <v>4511</v>
      </c>
      <c r="G313" s="1" t="s">
        <v>36</v>
      </c>
    </row>
    <row r="314" spans="1:7">
      <c r="A314" s="1" t="s">
        <v>13</v>
      </c>
      <c r="B314" s="2">
        <v>43778</v>
      </c>
      <c r="C314" s="1" t="s">
        <v>14</v>
      </c>
      <c r="D314" s="1" t="s">
        <v>25</v>
      </c>
      <c r="E314" s="3"/>
      <c r="F314" s="1">
        <v>5271</v>
      </c>
      <c r="G314" s="1" t="s">
        <v>16</v>
      </c>
    </row>
    <row r="315" spans="1:7">
      <c r="A315" s="1" t="s">
        <v>13</v>
      </c>
      <c r="B315" s="2">
        <v>43779</v>
      </c>
      <c r="C315" s="1" t="s">
        <v>20</v>
      </c>
      <c r="D315" s="1" t="s">
        <v>28</v>
      </c>
      <c r="E315" s="3"/>
      <c r="F315" s="1">
        <v>4166</v>
      </c>
      <c r="G315" s="1" t="s">
        <v>22</v>
      </c>
    </row>
    <row r="316" spans="1:7">
      <c r="A316" s="1" t="s">
        <v>13</v>
      </c>
      <c r="B316" s="2">
        <v>43780</v>
      </c>
      <c r="C316" s="1" t="s">
        <v>24</v>
      </c>
      <c r="D316" s="1" t="s">
        <v>31</v>
      </c>
      <c r="E316" s="3"/>
      <c r="F316" s="1">
        <v>4867</v>
      </c>
      <c r="G316" s="1" t="s">
        <v>26</v>
      </c>
    </row>
    <row r="317" spans="1:7">
      <c r="A317" s="1" t="s">
        <v>13</v>
      </c>
      <c r="B317" s="2">
        <v>43781</v>
      </c>
      <c r="C317" s="1" t="s">
        <v>27</v>
      </c>
      <c r="D317" s="1" t="s">
        <v>35</v>
      </c>
      <c r="E317" s="3"/>
      <c r="F317" s="1">
        <v>1799</v>
      </c>
      <c r="G317" s="1" t="s">
        <v>29</v>
      </c>
    </row>
    <row r="318" spans="1:7">
      <c r="A318" s="1" t="s">
        <v>13</v>
      </c>
      <c r="B318" s="2">
        <v>43782</v>
      </c>
      <c r="C318" s="1" t="s">
        <v>30</v>
      </c>
      <c r="D318" s="1" t="s">
        <v>37</v>
      </c>
      <c r="E318" s="3"/>
      <c r="F318" s="1">
        <v>8339</v>
      </c>
      <c r="G318" s="1" t="s">
        <v>32</v>
      </c>
    </row>
    <row r="319" spans="1:7">
      <c r="A319" s="1" t="s">
        <v>13</v>
      </c>
      <c r="B319" s="2">
        <v>43783</v>
      </c>
      <c r="C319" s="1" t="s">
        <v>34</v>
      </c>
      <c r="D319" s="1" t="s">
        <v>38</v>
      </c>
      <c r="E319" s="3"/>
      <c r="F319" s="1">
        <v>4741</v>
      </c>
      <c r="G319" s="1" t="s">
        <v>36</v>
      </c>
    </row>
    <row r="320" spans="1:7">
      <c r="A320" s="1" t="s">
        <v>13</v>
      </c>
      <c r="B320" s="2">
        <v>43784</v>
      </c>
      <c r="C320" s="1" t="s">
        <v>14</v>
      </c>
      <c r="D320" s="1" t="s">
        <v>39</v>
      </c>
      <c r="E320" s="3"/>
      <c r="F320" s="1">
        <v>6139</v>
      </c>
      <c r="G320" s="1" t="s">
        <v>16</v>
      </c>
    </row>
    <row r="321" spans="1:7">
      <c r="A321" s="1" t="s">
        <v>13</v>
      </c>
      <c r="B321" s="2">
        <v>43785</v>
      </c>
      <c r="C321" s="1" t="s">
        <v>20</v>
      </c>
      <c r="D321" s="1" t="s">
        <v>40</v>
      </c>
      <c r="E321" s="3"/>
      <c r="F321" s="1">
        <v>3573</v>
      </c>
      <c r="G321" s="1" t="s">
        <v>22</v>
      </c>
    </row>
    <row r="322" spans="1:7">
      <c r="A322" s="1" t="s">
        <v>13</v>
      </c>
      <c r="B322" s="2">
        <v>43786</v>
      </c>
      <c r="C322" s="1" t="s">
        <v>24</v>
      </c>
      <c r="D322" s="1" t="s">
        <v>15</v>
      </c>
      <c r="E322" s="3"/>
      <c r="F322" s="1">
        <v>6296</v>
      </c>
      <c r="G322" s="1" t="s">
        <v>26</v>
      </c>
    </row>
    <row r="323" spans="1:7">
      <c r="A323" s="1" t="s">
        <v>13</v>
      </c>
      <c r="B323" s="2">
        <v>43787</v>
      </c>
      <c r="C323" s="1" t="s">
        <v>27</v>
      </c>
      <c r="D323" s="1" t="s">
        <v>21</v>
      </c>
      <c r="E323" s="3"/>
      <c r="F323" s="1">
        <v>7146</v>
      </c>
      <c r="G323" s="1" t="s">
        <v>29</v>
      </c>
    </row>
    <row r="324" spans="1:7">
      <c r="A324" s="1" t="s">
        <v>13</v>
      </c>
      <c r="B324" s="2">
        <v>43788</v>
      </c>
      <c r="C324" s="1" t="s">
        <v>30</v>
      </c>
      <c r="D324" s="1" t="s">
        <v>25</v>
      </c>
      <c r="E324" s="3"/>
      <c r="F324" s="1">
        <v>9956</v>
      </c>
      <c r="G324" s="1" t="s">
        <v>32</v>
      </c>
    </row>
    <row r="325" spans="1:7">
      <c r="A325" s="1" t="s">
        <v>13</v>
      </c>
      <c r="B325" s="2">
        <v>43789</v>
      </c>
      <c r="C325" s="1" t="s">
        <v>34</v>
      </c>
      <c r="D325" s="1" t="s">
        <v>28</v>
      </c>
      <c r="E325" s="3"/>
      <c r="F325" s="1">
        <v>9606</v>
      </c>
      <c r="G325" s="1" t="s">
        <v>36</v>
      </c>
    </row>
    <row r="326" spans="1:7">
      <c r="A326" s="1" t="s">
        <v>13</v>
      </c>
      <c r="B326" s="2">
        <v>43790</v>
      </c>
      <c r="C326" s="1" t="s">
        <v>14</v>
      </c>
      <c r="D326" s="1" t="s">
        <v>31</v>
      </c>
      <c r="E326" s="3"/>
      <c r="F326" s="1">
        <v>6180</v>
      </c>
      <c r="G326" s="1" t="s">
        <v>16</v>
      </c>
    </row>
    <row r="327" spans="1:7">
      <c r="A327" s="1" t="s">
        <v>13</v>
      </c>
      <c r="B327" s="2">
        <v>43791</v>
      </c>
      <c r="C327" s="1" t="s">
        <v>20</v>
      </c>
      <c r="D327" s="1" t="s">
        <v>35</v>
      </c>
      <c r="E327" s="3"/>
      <c r="F327" s="1">
        <v>4737</v>
      </c>
      <c r="G327" s="1" t="s">
        <v>22</v>
      </c>
    </row>
    <row r="328" spans="1:7">
      <c r="A328" s="1" t="s">
        <v>13</v>
      </c>
      <c r="B328" s="2">
        <v>43792</v>
      </c>
      <c r="C328" s="1" t="s">
        <v>24</v>
      </c>
      <c r="D328" s="1" t="s">
        <v>37</v>
      </c>
      <c r="E328" s="3"/>
      <c r="F328" s="1">
        <v>1941</v>
      </c>
      <c r="G328" s="1" t="s">
        <v>26</v>
      </c>
    </row>
    <row r="329" spans="1:7">
      <c r="A329" s="1" t="s">
        <v>13</v>
      </c>
      <c r="B329" s="2">
        <v>43793</v>
      </c>
      <c r="C329" s="1" t="s">
        <v>27</v>
      </c>
      <c r="D329" s="1" t="s">
        <v>38</v>
      </c>
      <c r="E329" s="3"/>
      <c r="F329" s="1">
        <v>1771</v>
      </c>
      <c r="G329" s="1" t="s">
        <v>29</v>
      </c>
    </row>
    <row r="330" spans="1:7">
      <c r="A330" s="1" t="s">
        <v>13</v>
      </c>
      <c r="B330" s="2">
        <v>43794</v>
      </c>
      <c r="C330" s="1" t="s">
        <v>30</v>
      </c>
      <c r="D330" s="1" t="s">
        <v>39</v>
      </c>
      <c r="E330" s="3"/>
      <c r="F330" s="1">
        <v>7238</v>
      </c>
      <c r="G330" s="1" t="s">
        <v>32</v>
      </c>
    </row>
    <row r="331" spans="1:7">
      <c r="A331" s="1" t="s">
        <v>13</v>
      </c>
      <c r="B331" s="2">
        <v>43795</v>
      </c>
      <c r="C331" s="1" t="s">
        <v>34</v>
      </c>
      <c r="D331" s="1" t="s">
        <v>40</v>
      </c>
      <c r="E331" s="3"/>
      <c r="F331" s="1">
        <v>5026</v>
      </c>
      <c r="G331" s="1" t="s">
        <v>36</v>
      </c>
    </row>
    <row r="332" spans="1:7">
      <c r="A332" s="1" t="s">
        <v>13</v>
      </c>
      <c r="B332" s="2">
        <v>43796</v>
      </c>
      <c r="C332" s="1" t="s">
        <v>14</v>
      </c>
      <c r="D332" s="1" t="s">
        <v>15</v>
      </c>
      <c r="E332" s="3"/>
      <c r="F332" s="1">
        <v>9289</v>
      </c>
      <c r="G332" s="1" t="s">
        <v>16</v>
      </c>
    </row>
    <row r="333" spans="1:7">
      <c r="A333" s="1" t="s">
        <v>13</v>
      </c>
      <c r="B333" s="2">
        <v>43797</v>
      </c>
      <c r="C333" s="1" t="s">
        <v>20</v>
      </c>
      <c r="D333" s="1" t="s">
        <v>21</v>
      </c>
      <c r="E333" s="3"/>
      <c r="F333" s="1">
        <v>1626</v>
      </c>
      <c r="G333" s="1" t="s">
        <v>22</v>
      </c>
    </row>
    <row r="334" spans="1:7">
      <c r="A334" s="1" t="s">
        <v>13</v>
      </c>
      <c r="B334" s="2">
        <v>43798</v>
      </c>
      <c r="C334" s="1" t="s">
        <v>24</v>
      </c>
      <c r="D334" s="1" t="s">
        <v>25</v>
      </c>
      <c r="E334" s="3"/>
      <c r="F334" s="1">
        <v>2106</v>
      </c>
      <c r="G334" s="1" t="s">
        <v>26</v>
      </c>
    </row>
    <row r="335" spans="1:7">
      <c r="A335" s="1" t="s">
        <v>13</v>
      </c>
      <c r="B335" s="2">
        <v>43799</v>
      </c>
      <c r="C335" s="1" t="s">
        <v>27</v>
      </c>
      <c r="D335" s="1" t="s">
        <v>28</v>
      </c>
      <c r="E335" s="3"/>
      <c r="F335" s="1">
        <v>7223</v>
      </c>
      <c r="G335" s="1" t="s">
        <v>29</v>
      </c>
    </row>
    <row r="336" spans="1:7">
      <c r="A336" s="1" t="s">
        <v>13</v>
      </c>
      <c r="B336" s="2">
        <v>43800</v>
      </c>
      <c r="C336" s="1" t="s">
        <v>30</v>
      </c>
      <c r="D336" s="1" t="s">
        <v>31</v>
      </c>
      <c r="E336" s="3"/>
      <c r="F336" s="1">
        <v>8592</v>
      </c>
      <c r="G336" s="1" t="s">
        <v>32</v>
      </c>
    </row>
    <row r="337" spans="1:7">
      <c r="A337" s="1" t="s">
        <v>13</v>
      </c>
      <c r="B337" s="2">
        <v>43801</v>
      </c>
      <c r="C337" s="1" t="s">
        <v>34</v>
      </c>
      <c r="D337" s="1" t="s">
        <v>35</v>
      </c>
      <c r="E337" s="3"/>
      <c r="F337" s="1">
        <v>4354</v>
      </c>
      <c r="G337" s="1" t="s">
        <v>36</v>
      </c>
    </row>
    <row r="338" spans="1:7">
      <c r="A338" s="1" t="s">
        <v>13</v>
      </c>
      <c r="B338" s="2">
        <v>43802</v>
      </c>
      <c r="C338" s="1" t="s">
        <v>14</v>
      </c>
      <c r="D338" s="1" t="s">
        <v>37</v>
      </c>
      <c r="E338" s="3"/>
      <c r="F338" s="1">
        <v>4661</v>
      </c>
      <c r="G338" s="1" t="s">
        <v>16</v>
      </c>
    </row>
    <row r="339" spans="1:7">
      <c r="A339" s="1" t="s">
        <v>13</v>
      </c>
      <c r="B339" s="2">
        <v>43803</v>
      </c>
      <c r="C339" s="1" t="s">
        <v>20</v>
      </c>
      <c r="D339" s="1" t="s">
        <v>38</v>
      </c>
      <c r="E339" s="3"/>
      <c r="F339" s="1">
        <v>6009</v>
      </c>
      <c r="G339" s="1" t="s">
        <v>22</v>
      </c>
    </row>
    <row r="340" spans="1:7">
      <c r="A340" s="1" t="s">
        <v>13</v>
      </c>
      <c r="B340" s="2">
        <v>43804</v>
      </c>
      <c r="C340" s="1" t="s">
        <v>24</v>
      </c>
      <c r="D340" s="1" t="s">
        <v>39</v>
      </c>
      <c r="E340" s="3"/>
      <c r="F340" s="1">
        <v>2903</v>
      </c>
      <c r="G340" s="1" t="s">
        <v>26</v>
      </c>
    </row>
    <row r="341" spans="1:7">
      <c r="A341" s="1" t="s">
        <v>13</v>
      </c>
      <c r="B341" s="2">
        <v>43805</v>
      </c>
      <c r="C341" s="1" t="s">
        <v>27</v>
      </c>
      <c r="D341" s="1" t="s">
        <v>40</v>
      </c>
      <c r="E341" s="3"/>
      <c r="F341" s="1">
        <v>4973</v>
      </c>
      <c r="G341" s="1" t="s">
        <v>29</v>
      </c>
    </row>
    <row r="342" spans="1:7">
      <c r="A342" s="1" t="s">
        <v>13</v>
      </c>
      <c r="B342" s="2">
        <v>43806</v>
      </c>
      <c r="C342" s="1" t="s">
        <v>30</v>
      </c>
      <c r="D342" s="1" t="s">
        <v>15</v>
      </c>
      <c r="E342" s="3"/>
      <c r="F342" s="1">
        <v>9115</v>
      </c>
      <c r="G342" s="1" t="s">
        <v>32</v>
      </c>
    </row>
    <row r="343" spans="1:7">
      <c r="A343" s="1" t="s">
        <v>13</v>
      </c>
      <c r="B343" s="2">
        <v>43807</v>
      </c>
      <c r="C343" s="1" t="s">
        <v>34</v>
      </c>
      <c r="D343" s="1" t="s">
        <v>21</v>
      </c>
      <c r="E343" s="3"/>
      <c r="F343" s="1">
        <v>5610</v>
      </c>
      <c r="G343" s="1" t="s">
        <v>36</v>
      </c>
    </row>
    <row r="344" spans="1:7">
      <c r="A344" s="1" t="s">
        <v>13</v>
      </c>
      <c r="B344" s="2">
        <v>43808</v>
      </c>
      <c r="C344" s="1" t="s">
        <v>14</v>
      </c>
      <c r="D344" s="1" t="s">
        <v>25</v>
      </c>
      <c r="E344" s="3"/>
      <c r="F344" s="1">
        <v>9446</v>
      </c>
      <c r="G344" s="1" t="s">
        <v>16</v>
      </c>
    </row>
    <row r="345" spans="1:7">
      <c r="A345" s="1" t="s">
        <v>13</v>
      </c>
      <c r="B345" s="2">
        <v>43809</v>
      </c>
      <c r="C345" s="1" t="s">
        <v>20</v>
      </c>
      <c r="D345" s="1" t="s">
        <v>28</v>
      </c>
      <c r="E345" s="3"/>
      <c r="F345" s="1">
        <v>3948</v>
      </c>
      <c r="G345" s="1" t="s">
        <v>22</v>
      </c>
    </row>
    <row r="346" spans="1:7">
      <c r="A346" s="1" t="s">
        <v>13</v>
      </c>
      <c r="B346" s="2">
        <v>43810</v>
      </c>
      <c r="C346" s="1" t="s">
        <v>24</v>
      </c>
      <c r="D346" s="1" t="s">
        <v>31</v>
      </c>
      <c r="E346" s="3"/>
      <c r="F346" s="1">
        <v>6990</v>
      </c>
      <c r="G346" s="1" t="s">
        <v>26</v>
      </c>
    </row>
    <row r="347" spans="1:7">
      <c r="A347" s="1" t="s">
        <v>13</v>
      </c>
      <c r="B347" s="2">
        <v>43811</v>
      </c>
      <c r="C347" s="1" t="s">
        <v>27</v>
      </c>
      <c r="D347" s="1" t="s">
        <v>35</v>
      </c>
      <c r="E347" s="3"/>
      <c r="F347" s="1">
        <v>9457</v>
      </c>
      <c r="G347" s="1" t="s">
        <v>29</v>
      </c>
    </row>
    <row r="348" spans="1:7">
      <c r="A348" s="1" t="s">
        <v>13</v>
      </c>
      <c r="B348" s="2">
        <v>43812</v>
      </c>
      <c r="C348" s="1" t="s">
        <v>30</v>
      </c>
      <c r="D348" s="1" t="s">
        <v>37</v>
      </c>
      <c r="E348" s="3"/>
      <c r="F348" s="1">
        <v>4019</v>
      </c>
      <c r="G348" s="1" t="s">
        <v>32</v>
      </c>
    </row>
    <row r="349" spans="1:7">
      <c r="A349" s="1" t="s">
        <v>13</v>
      </c>
      <c r="B349" s="2">
        <v>43813</v>
      </c>
      <c r="C349" s="1" t="s">
        <v>34</v>
      </c>
      <c r="D349" s="1" t="s">
        <v>38</v>
      </c>
      <c r="E349" s="3"/>
      <c r="F349" s="1">
        <v>6620</v>
      </c>
      <c r="G349" s="1" t="s">
        <v>36</v>
      </c>
    </row>
    <row r="350" spans="1:7">
      <c r="A350" s="1" t="s">
        <v>13</v>
      </c>
      <c r="B350" s="2">
        <v>43814</v>
      </c>
      <c r="C350" s="1" t="s">
        <v>14</v>
      </c>
      <c r="D350" s="1" t="s">
        <v>39</v>
      </c>
      <c r="E350" s="3"/>
      <c r="F350" s="1">
        <v>5415</v>
      </c>
      <c r="G350" s="1" t="s">
        <v>16</v>
      </c>
    </row>
    <row r="351" spans="1:7">
      <c r="A351" s="1" t="s">
        <v>13</v>
      </c>
      <c r="B351" s="2">
        <v>43815</v>
      </c>
      <c r="C351" s="1" t="s">
        <v>20</v>
      </c>
      <c r="D351" s="1" t="s">
        <v>40</v>
      </c>
      <c r="E351" s="3"/>
      <c r="F351" s="1">
        <v>6830</v>
      </c>
      <c r="G351" s="1" t="s">
        <v>22</v>
      </c>
    </row>
    <row r="352" spans="1:7">
      <c r="A352" s="1" t="s">
        <v>13</v>
      </c>
      <c r="B352" s="2">
        <v>43816</v>
      </c>
      <c r="C352" s="1" t="s">
        <v>24</v>
      </c>
      <c r="D352" s="1" t="s">
        <v>15</v>
      </c>
      <c r="E352" s="3"/>
      <c r="F352" s="1">
        <v>8772</v>
      </c>
      <c r="G352" s="1" t="s">
        <v>26</v>
      </c>
    </row>
    <row r="353" spans="1:13">
      <c r="A353" s="1" t="s">
        <v>13</v>
      </c>
      <c r="B353" s="2">
        <v>43817</v>
      </c>
      <c r="C353" s="1" t="s">
        <v>27</v>
      </c>
      <c r="D353" s="1" t="s">
        <v>21</v>
      </c>
      <c r="E353" s="3"/>
      <c r="F353" s="1">
        <v>1608</v>
      </c>
      <c r="G353" s="1" t="s">
        <v>29</v>
      </c>
    </row>
    <row r="354" spans="1:13">
      <c r="A354" s="1" t="s">
        <v>13</v>
      </c>
      <c r="B354" s="2">
        <v>43818</v>
      </c>
      <c r="C354" s="1" t="s">
        <v>30</v>
      </c>
      <c r="D354" s="1" t="s">
        <v>25</v>
      </c>
      <c r="E354" s="3"/>
      <c r="F354" s="1">
        <v>6494</v>
      </c>
      <c r="G354" s="1" t="s">
        <v>32</v>
      </c>
    </row>
    <row r="355" spans="1:13">
      <c r="A355" s="1" t="s">
        <v>13</v>
      </c>
      <c r="B355" s="2">
        <v>43819</v>
      </c>
      <c r="C355" s="1" t="s">
        <v>34</v>
      </c>
      <c r="D355" s="1" t="s">
        <v>28</v>
      </c>
      <c r="E355" s="3"/>
      <c r="F355" s="1">
        <v>9445</v>
      </c>
      <c r="G355" s="1" t="s">
        <v>36</v>
      </c>
    </row>
    <row r="356" spans="1:13">
      <c r="A356" s="1" t="s">
        <v>13</v>
      </c>
      <c r="B356" s="2">
        <v>43820</v>
      </c>
      <c r="C356" s="1" t="s">
        <v>14</v>
      </c>
      <c r="D356" s="1" t="s">
        <v>31</v>
      </c>
      <c r="E356" s="3"/>
      <c r="F356" s="1">
        <v>7967</v>
      </c>
      <c r="G356" s="1" t="s">
        <v>16</v>
      </c>
    </row>
    <row r="357" spans="1:13">
      <c r="A357" s="1" t="s">
        <v>13</v>
      </c>
      <c r="B357" s="2">
        <v>43821</v>
      </c>
      <c r="C357" s="1" t="s">
        <v>20</v>
      </c>
      <c r="D357" s="1" t="s">
        <v>35</v>
      </c>
      <c r="E357" s="3"/>
      <c r="F357" s="1">
        <v>3030</v>
      </c>
      <c r="G357" s="1" t="s">
        <v>22</v>
      </c>
    </row>
    <row r="358" spans="1:13">
      <c r="A358" s="1" t="s">
        <v>13</v>
      </c>
      <c r="B358" s="2">
        <v>43822</v>
      </c>
      <c r="C358" s="1" t="s">
        <v>24</v>
      </c>
      <c r="D358" s="1" t="s">
        <v>37</v>
      </c>
      <c r="E358" s="3"/>
      <c r="F358" s="1">
        <v>6366</v>
      </c>
      <c r="G358" s="1" t="s">
        <v>26</v>
      </c>
    </row>
    <row r="359" spans="1:13">
      <c r="A359" s="1" t="s">
        <v>13</v>
      </c>
      <c r="B359" s="2">
        <v>43823</v>
      </c>
      <c r="C359" s="1" t="s">
        <v>27</v>
      </c>
      <c r="D359" s="1" t="s">
        <v>38</v>
      </c>
      <c r="E359" s="3"/>
      <c r="F359" s="1">
        <v>1250</v>
      </c>
      <c r="G359" s="1" t="s">
        <v>29</v>
      </c>
    </row>
    <row r="360" spans="1:13">
      <c r="A360" s="1" t="s">
        <v>13</v>
      </c>
      <c r="B360" s="2">
        <v>43824</v>
      </c>
      <c r="C360" s="1" t="s">
        <v>30</v>
      </c>
      <c r="D360" s="1" t="s">
        <v>39</v>
      </c>
      <c r="E360" s="3"/>
      <c r="F360" s="1">
        <v>8774</v>
      </c>
      <c r="G360" s="1" t="s">
        <v>32</v>
      </c>
    </row>
    <row r="361" spans="1:13">
      <c r="A361" s="1" t="s">
        <v>13</v>
      </c>
      <c r="B361" s="2">
        <v>43825</v>
      </c>
      <c r="C361" s="1" t="s">
        <v>34</v>
      </c>
      <c r="D361" s="1" t="s">
        <v>40</v>
      </c>
      <c r="E361" s="3"/>
      <c r="F361" s="1">
        <v>1024</v>
      </c>
      <c r="G361" s="1" t="s">
        <v>36</v>
      </c>
    </row>
    <row r="362" spans="1:13">
      <c r="A362" s="1" t="s">
        <v>13</v>
      </c>
      <c r="B362" s="2">
        <v>43826</v>
      </c>
      <c r="C362" s="1" t="s">
        <v>14</v>
      </c>
      <c r="D362" s="1" t="s">
        <v>15</v>
      </c>
      <c r="E362" s="3"/>
      <c r="F362" s="1">
        <v>7855</v>
      </c>
      <c r="G362" s="1" t="s">
        <v>16</v>
      </c>
    </row>
    <row r="363" spans="1:13">
      <c r="A363" s="1" t="s">
        <v>13</v>
      </c>
      <c r="B363" s="2">
        <v>43827</v>
      </c>
      <c r="C363" s="1" t="s">
        <v>20</v>
      </c>
      <c r="D363" s="1" t="s">
        <v>21</v>
      </c>
      <c r="E363" s="3"/>
      <c r="F363" s="1">
        <v>2606</v>
      </c>
      <c r="G363" s="1" t="s">
        <v>22</v>
      </c>
    </row>
    <row r="364" spans="1:13">
      <c r="A364" s="1" t="s">
        <v>13</v>
      </c>
      <c r="B364" s="2">
        <v>43828</v>
      </c>
      <c r="C364" s="1" t="s">
        <v>24</v>
      </c>
      <c r="D364" s="1" t="s">
        <v>25</v>
      </c>
      <c r="E364" s="3"/>
      <c r="F364" s="1">
        <v>2415</v>
      </c>
      <c r="G364" s="1" t="s">
        <v>26</v>
      </c>
    </row>
    <row r="365" spans="1:13">
      <c r="A365" s="1" t="s">
        <v>13</v>
      </c>
      <c r="B365" s="2">
        <v>43829</v>
      </c>
      <c r="C365" s="1" t="s">
        <v>27</v>
      </c>
      <c r="D365" s="1" t="s">
        <v>28</v>
      </c>
      <c r="E365" s="3"/>
      <c r="F365" s="1">
        <v>4177</v>
      </c>
      <c r="G365" s="1" t="s">
        <v>29</v>
      </c>
    </row>
    <row r="366" spans="1:13">
      <c r="A366" s="1" t="s">
        <v>13</v>
      </c>
      <c r="B366" s="2">
        <v>43830</v>
      </c>
      <c r="C366" s="1" t="s">
        <v>30</v>
      </c>
      <c r="D366" s="1" t="s">
        <v>31</v>
      </c>
      <c r="E366" s="3"/>
      <c r="F366" s="1">
        <v>4442</v>
      </c>
      <c r="G366" s="1" t="s">
        <v>32</v>
      </c>
    </row>
    <row r="367" spans="1:13">
      <c r="A367" s="1" t="s">
        <v>45</v>
      </c>
      <c r="B367" s="2">
        <v>43466</v>
      </c>
      <c r="K367" s="1" t="s">
        <v>62</v>
      </c>
      <c r="L367" s="1">
        <v>8</v>
      </c>
      <c r="M367" s="1">
        <v>4</v>
      </c>
    </row>
    <row r="368" spans="1:13">
      <c r="A368" s="1" t="s">
        <v>45</v>
      </c>
      <c r="B368" s="2">
        <v>43497</v>
      </c>
      <c r="K368" s="1" t="s">
        <v>62</v>
      </c>
      <c r="L368" s="1">
        <v>9</v>
      </c>
      <c r="M368" s="1">
        <v>5</v>
      </c>
    </row>
    <row r="369" spans="1:13">
      <c r="A369" s="1" t="s">
        <v>45</v>
      </c>
      <c r="B369" s="2">
        <v>43525</v>
      </c>
      <c r="K369" s="1" t="s">
        <v>62</v>
      </c>
      <c r="L369" s="1">
        <v>10</v>
      </c>
      <c r="M369" s="1">
        <v>4</v>
      </c>
    </row>
    <row r="370" spans="1:13">
      <c r="A370" s="1" t="s">
        <v>45</v>
      </c>
      <c r="B370" s="2">
        <v>43556</v>
      </c>
      <c r="K370" s="1" t="s">
        <v>62</v>
      </c>
      <c r="L370" s="1">
        <v>7</v>
      </c>
      <c r="M370" s="1">
        <v>6</v>
      </c>
    </row>
    <row r="371" spans="1:13">
      <c r="A371" s="1" t="s">
        <v>45</v>
      </c>
      <c r="B371" s="2">
        <v>43586</v>
      </c>
      <c r="K371" s="1" t="s">
        <v>62</v>
      </c>
      <c r="L371" s="1">
        <v>6</v>
      </c>
      <c r="M371" s="1">
        <v>6</v>
      </c>
    </row>
    <row r="372" spans="1:13">
      <c r="A372" s="1" t="s">
        <v>45</v>
      </c>
      <c r="B372" s="2">
        <v>43617</v>
      </c>
      <c r="K372" s="1" t="s">
        <v>62</v>
      </c>
      <c r="L372" s="1">
        <v>6</v>
      </c>
      <c r="M372" s="1">
        <v>6</v>
      </c>
    </row>
    <row r="373" spans="1:13">
      <c r="A373" s="9" t="s">
        <v>45</v>
      </c>
      <c r="B373" s="10">
        <v>43647</v>
      </c>
      <c r="C373" s="9"/>
      <c r="D373" s="9"/>
      <c r="E373" s="9"/>
      <c r="F373" s="9"/>
      <c r="G373" s="9"/>
      <c r="H373" s="9"/>
      <c r="I373" s="9"/>
      <c r="J373" s="9"/>
      <c r="K373" s="9" t="s">
        <v>62</v>
      </c>
      <c r="L373" s="9">
        <v>6</v>
      </c>
      <c r="M373" s="9">
        <v>6</v>
      </c>
    </row>
    <row r="374" spans="1:13">
      <c r="A374" s="7" t="s">
        <v>45</v>
      </c>
      <c r="B374" s="8">
        <v>43466</v>
      </c>
      <c r="C374" s="7"/>
      <c r="D374" s="7"/>
      <c r="E374" s="7"/>
      <c r="F374" s="7"/>
      <c r="G374" s="7"/>
      <c r="H374" s="7"/>
      <c r="I374" s="7"/>
      <c r="J374" s="7"/>
      <c r="K374" s="7" t="s">
        <v>63</v>
      </c>
      <c r="L374" s="7">
        <v>12</v>
      </c>
      <c r="M374" s="7">
        <v>8</v>
      </c>
    </row>
    <row r="375" spans="1:13">
      <c r="A375" s="1" t="s">
        <v>45</v>
      </c>
      <c r="B375" s="2">
        <v>43497</v>
      </c>
      <c r="K375" s="1" t="s">
        <v>63</v>
      </c>
      <c r="L375" s="1">
        <v>12</v>
      </c>
      <c r="M375" s="1">
        <v>12</v>
      </c>
    </row>
    <row r="376" spans="1:13">
      <c r="A376" s="1" t="s">
        <v>45</v>
      </c>
      <c r="B376" s="2">
        <v>43525</v>
      </c>
      <c r="K376" s="1" t="s">
        <v>63</v>
      </c>
      <c r="L376" s="1">
        <v>12</v>
      </c>
      <c r="M376" s="1">
        <v>13</v>
      </c>
    </row>
    <row r="377" spans="1:13">
      <c r="A377" s="1" t="s">
        <v>45</v>
      </c>
      <c r="B377" s="2">
        <v>43556</v>
      </c>
      <c r="K377" s="1" t="s">
        <v>63</v>
      </c>
      <c r="L377" s="1">
        <v>13</v>
      </c>
      <c r="M377" s="1">
        <v>14</v>
      </c>
    </row>
    <row r="378" spans="1:13">
      <c r="A378" s="1" t="s">
        <v>45</v>
      </c>
      <c r="B378" s="2">
        <v>43586</v>
      </c>
      <c r="K378" s="1" t="s">
        <v>63</v>
      </c>
      <c r="L378" s="1">
        <v>14</v>
      </c>
      <c r="M378" s="1">
        <v>16</v>
      </c>
    </row>
    <row r="379" spans="1:13">
      <c r="A379" s="1" t="s">
        <v>45</v>
      </c>
      <c r="B379" s="2">
        <v>43617</v>
      </c>
      <c r="K379" s="1" t="s">
        <v>63</v>
      </c>
      <c r="L379" s="1">
        <v>15</v>
      </c>
      <c r="M379" s="1">
        <v>18</v>
      </c>
    </row>
    <row r="380" spans="1:13">
      <c r="A380" s="1" t="s">
        <v>45</v>
      </c>
      <c r="B380" s="2">
        <v>43647</v>
      </c>
      <c r="K380" s="1" t="s">
        <v>63</v>
      </c>
      <c r="L380" s="1">
        <v>20</v>
      </c>
      <c r="M380" s="1">
        <v>19</v>
      </c>
    </row>
    <row r="381" spans="1:13">
      <c r="A381" s="7" t="s">
        <v>45</v>
      </c>
      <c r="B381" s="8">
        <v>43466</v>
      </c>
      <c r="C381" s="7"/>
      <c r="D381" s="7"/>
      <c r="E381" s="7"/>
      <c r="F381" s="7"/>
      <c r="G381" s="7"/>
      <c r="H381" s="7"/>
      <c r="I381" s="7"/>
      <c r="J381" s="7"/>
      <c r="K381" s="7" t="s">
        <v>64</v>
      </c>
      <c r="L381" s="7">
        <v>4</v>
      </c>
      <c r="M381" s="7">
        <v>8</v>
      </c>
    </row>
    <row r="382" spans="1:13">
      <c r="A382" s="1" t="s">
        <v>45</v>
      </c>
      <c r="B382" s="2">
        <v>43497</v>
      </c>
      <c r="K382" s="1" t="s">
        <v>64</v>
      </c>
      <c r="L382" s="1">
        <v>4</v>
      </c>
      <c r="M382" s="1">
        <v>12</v>
      </c>
    </row>
    <row r="383" spans="1:13">
      <c r="A383" s="1" t="s">
        <v>45</v>
      </c>
      <c r="B383" s="2">
        <v>43525</v>
      </c>
      <c r="K383" s="1" t="s">
        <v>64</v>
      </c>
      <c r="L383" s="1">
        <v>6</v>
      </c>
      <c r="M383" s="1">
        <v>12</v>
      </c>
    </row>
    <row r="384" spans="1:13">
      <c r="A384" s="1" t="s">
        <v>45</v>
      </c>
      <c r="B384" s="2">
        <v>43556</v>
      </c>
      <c r="K384" s="1" t="s">
        <v>64</v>
      </c>
      <c r="L384" s="1">
        <v>6</v>
      </c>
      <c r="M384" s="1">
        <v>14</v>
      </c>
    </row>
    <row r="385" spans="1:17">
      <c r="A385" s="1" t="s">
        <v>45</v>
      </c>
      <c r="B385" s="2">
        <v>43586</v>
      </c>
      <c r="K385" s="1" t="s">
        <v>64</v>
      </c>
      <c r="L385" s="1">
        <v>8</v>
      </c>
      <c r="M385" s="1">
        <v>16</v>
      </c>
    </row>
    <row r="386" spans="1:17">
      <c r="A386" s="1" t="s">
        <v>45</v>
      </c>
      <c r="B386" s="2">
        <v>43617</v>
      </c>
      <c r="K386" s="1" t="s">
        <v>64</v>
      </c>
      <c r="L386" s="1">
        <v>10</v>
      </c>
      <c r="M386" s="1">
        <v>16</v>
      </c>
    </row>
    <row r="387" spans="1:17">
      <c r="A387" s="1" t="s">
        <v>45</v>
      </c>
      <c r="B387" s="2">
        <v>43647</v>
      </c>
      <c r="K387" s="1" t="s">
        <v>64</v>
      </c>
      <c r="L387" s="1">
        <v>10</v>
      </c>
      <c r="M387" s="1">
        <v>18</v>
      </c>
    </row>
    <row r="388" spans="1:17">
      <c r="A388" s="7" t="s">
        <v>45</v>
      </c>
      <c r="B388" s="8">
        <v>43466</v>
      </c>
      <c r="C388" s="7"/>
      <c r="D388" s="7"/>
      <c r="E388" s="7"/>
      <c r="F388" s="7"/>
      <c r="G388" s="7"/>
      <c r="H388" s="7"/>
      <c r="I388" s="7"/>
      <c r="J388" s="7"/>
      <c r="K388" s="7" t="s">
        <v>65</v>
      </c>
      <c r="L388" s="7">
        <v>2</v>
      </c>
      <c r="M388" s="7">
        <v>4</v>
      </c>
    </row>
    <row r="389" spans="1:17">
      <c r="A389" s="1" t="s">
        <v>45</v>
      </c>
      <c r="B389" s="2">
        <v>43497</v>
      </c>
      <c r="K389" s="1" t="s">
        <v>65</v>
      </c>
      <c r="L389" s="1">
        <v>2</v>
      </c>
      <c r="M389" s="1">
        <v>4</v>
      </c>
    </row>
    <row r="390" spans="1:17">
      <c r="A390" s="1" t="s">
        <v>45</v>
      </c>
      <c r="B390" s="2">
        <v>43525</v>
      </c>
      <c r="K390" s="1" t="s">
        <v>65</v>
      </c>
      <c r="L390" s="1">
        <v>2</v>
      </c>
      <c r="M390" s="1">
        <v>4</v>
      </c>
    </row>
    <row r="391" spans="1:17">
      <c r="A391" s="1" t="s">
        <v>45</v>
      </c>
      <c r="B391" s="2">
        <v>43556</v>
      </c>
      <c r="K391" s="1" t="s">
        <v>65</v>
      </c>
      <c r="L391" s="1">
        <v>2</v>
      </c>
      <c r="M391" s="1">
        <v>4</v>
      </c>
    </row>
    <row r="392" spans="1:17">
      <c r="A392" s="1" t="s">
        <v>45</v>
      </c>
      <c r="B392" s="2">
        <v>43586</v>
      </c>
      <c r="K392" s="1" t="s">
        <v>65</v>
      </c>
      <c r="L392" s="1">
        <v>2</v>
      </c>
      <c r="M392" s="1">
        <v>6</v>
      </c>
    </row>
    <row r="393" spans="1:17">
      <c r="A393" s="1" t="s">
        <v>45</v>
      </c>
      <c r="B393" s="2">
        <v>43617</v>
      </c>
      <c r="K393" s="1" t="s">
        <v>65</v>
      </c>
      <c r="L393" s="1">
        <v>2</v>
      </c>
      <c r="M393" s="1">
        <v>8</v>
      </c>
    </row>
    <row r="394" spans="1:17" ht="16" thickBot="1">
      <c r="A394" s="1" t="s">
        <v>45</v>
      </c>
      <c r="B394" s="2">
        <v>43647</v>
      </c>
      <c r="K394" s="1" t="s">
        <v>65</v>
      </c>
      <c r="L394" s="1">
        <v>2</v>
      </c>
      <c r="M394" s="1">
        <v>10</v>
      </c>
    </row>
    <row r="395" spans="1:17" ht="17" customHeight="1" thickBot="1">
      <c r="A395" s="12" t="s">
        <v>67</v>
      </c>
      <c r="B395" s="12"/>
      <c r="C395" s="12" t="s">
        <v>14</v>
      </c>
      <c r="D395" s="12"/>
      <c r="E395" s="12"/>
      <c r="F395" s="12"/>
      <c r="G395" s="12"/>
      <c r="H395" s="12"/>
      <c r="I395" s="12"/>
      <c r="J395" s="12"/>
      <c r="K395" s="12"/>
      <c r="L395" s="12"/>
      <c r="M395" s="12"/>
      <c r="N395" s="12" t="s">
        <v>63</v>
      </c>
      <c r="P395" s="14"/>
      <c r="Q395" s="13"/>
    </row>
    <row r="396" spans="1:17">
      <c r="A396" s="1" t="s">
        <v>67</v>
      </c>
      <c r="C396" s="1" t="s">
        <v>20</v>
      </c>
      <c r="N396" s="1" t="s">
        <v>62</v>
      </c>
    </row>
    <row r="397" spans="1:17">
      <c r="A397" s="1" t="s">
        <v>67</v>
      </c>
      <c r="C397" s="1" t="s">
        <v>24</v>
      </c>
      <c r="N397" s="1" t="s">
        <v>62</v>
      </c>
    </row>
    <row r="398" spans="1:17">
      <c r="A398" s="1" t="s">
        <v>67</v>
      </c>
      <c r="C398" s="1" t="s">
        <v>27</v>
      </c>
      <c r="N398" s="1" t="s">
        <v>62</v>
      </c>
    </row>
    <row r="399" spans="1:17">
      <c r="A399" s="1" t="s">
        <v>67</v>
      </c>
      <c r="C399" s="1" t="s">
        <v>30</v>
      </c>
      <c r="N399" s="1" t="s">
        <v>69</v>
      </c>
    </row>
    <row r="400" spans="1:17">
      <c r="A400" s="1" t="s">
        <v>67</v>
      </c>
      <c r="C400" s="1" t="s">
        <v>34</v>
      </c>
      <c r="N400" s="1" t="s">
        <v>69</v>
      </c>
    </row>
    <row r="401" spans="1:14">
      <c r="A401" s="1" t="s">
        <v>67</v>
      </c>
      <c r="C401" s="1" t="s">
        <v>14</v>
      </c>
      <c r="N401" s="1" t="s">
        <v>69</v>
      </c>
    </row>
    <row r="402" spans="1:14">
      <c r="A402" s="1" t="s">
        <v>67</v>
      </c>
      <c r="C402" s="1" t="s">
        <v>20</v>
      </c>
      <c r="N402" s="1" t="s">
        <v>69</v>
      </c>
    </row>
    <row r="403" spans="1:14">
      <c r="A403" s="1" t="s">
        <v>67</v>
      </c>
      <c r="C403" s="1" t="s">
        <v>24</v>
      </c>
      <c r="N403" s="1" t="s">
        <v>70</v>
      </c>
    </row>
    <row r="404" spans="1:14">
      <c r="A404" s="1" t="s">
        <v>67</v>
      </c>
      <c r="C404" s="1" t="s">
        <v>24</v>
      </c>
      <c r="N404" s="1" t="s">
        <v>71</v>
      </c>
    </row>
    <row r="405" spans="1:14">
      <c r="A405" s="1" t="s">
        <v>67</v>
      </c>
      <c r="C405" s="1" t="s">
        <v>27</v>
      </c>
      <c r="N405" s="1" t="s">
        <v>71</v>
      </c>
    </row>
    <row r="406" spans="1:14">
      <c r="A406" s="1" t="s">
        <v>67</v>
      </c>
      <c r="C406" s="1" t="s">
        <v>14</v>
      </c>
      <c r="N406" s="1" t="s">
        <v>71</v>
      </c>
    </row>
    <row r="407" spans="1:14">
      <c r="A407" s="1" t="s">
        <v>67</v>
      </c>
      <c r="C407" s="1" t="s">
        <v>20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E19B-DB2C-AF43-8956-23659D8B4CD6}">
  <dimension ref="A1:J30"/>
  <sheetViews>
    <sheetView zoomScale="133" zoomScaleNormal="200" workbookViewId="0">
      <selection activeCell="I6" sqref="I6"/>
    </sheetView>
  </sheetViews>
  <sheetFormatPr baseColWidth="10" defaultRowHeight="16"/>
  <cols>
    <col min="1" max="1" width="21" bestFit="1" customWidth="1"/>
    <col min="2" max="2" width="22.1640625" bestFit="1" customWidth="1"/>
    <col min="3" max="3" width="21" bestFit="1" customWidth="1"/>
    <col min="5" max="6" width="21" bestFit="1" customWidth="1"/>
    <col min="7" max="7" width="17.1640625" bestFit="1" customWidth="1"/>
    <col min="8" max="8" width="17.6640625" customWidth="1"/>
  </cols>
  <sheetData>
    <row r="1" spans="1:10" ht="21">
      <c r="A1" s="4" t="s">
        <v>46</v>
      </c>
      <c r="B1" t="s">
        <v>60</v>
      </c>
      <c r="C1" t="s">
        <v>61</v>
      </c>
      <c r="E1" s="63" t="s">
        <v>126</v>
      </c>
      <c r="H1" t="s">
        <v>3</v>
      </c>
      <c r="I1" t="s">
        <v>66</v>
      </c>
    </row>
    <row r="2" spans="1:10">
      <c r="A2" s="5" t="s">
        <v>48</v>
      </c>
      <c r="B2" s="6">
        <v>171848</v>
      </c>
      <c r="C2" s="6">
        <v>151819</v>
      </c>
      <c r="H2" s="5"/>
    </row>
    <row r="3" spans="1:10">
      <c r="A3" s="5" t="s">
        <v>49</v>
      </c>
      <c r="B3" s="6">
        <v>152827</v>
      </c>
      <c r="C3" s="6">
        <v>166902</v>
      </c>
      <c r="E3" s="4" t="s">
        <v>46</v>
      </c>
      <c r="F3" t="s">
        <v>61</v>
      </c>
      <c r="H3" s="5"/>
    </row>
    <row r="4" spans="1:10">
      <c r="A4" s="5" t="s">
        <v>50</v>
      </c>
      <c r="B4" s="6">
        <v>171512</v>
      </c>
      <c r="C4" s="6">
        <v>165159</v>
      </c>
      <c r="E4" s="5" t="s">
        <v>39</v>
      </c>
      <c r="F4" s="6">
        <v>93349</v>
      </c>
      <c r="H4" s="5" t="str">
        <f>E4</f>
        <v>Belgien</v>
      </c>
      <c r="I4">
        <f>GETPIVOTDATA("Umsatz IST",$E$3,"Land","Belgien")</f>
        <v>93349</v>
      </c>
    </row>
    <row r="5" spans="1:10">
      <c r="A5" s="5" t="s">
        <v>51</v>
      </c>
      <c r="B5" s="6">
        <v>184744</v>
      </c>
      <c r="C5" s="6">
        <v>183740</v>
      </c>
      <c r="E5" s="5" t="s">
        <v>15</v>
      </c>
      <c r="F5" s="6">
        <v>115949</v>
      </c>
      <c r="H5" s="5" t="str">
        <f>E5</f>
        <v>Deutschland</v>
      </c>
      <c r="I5">
        <f>GETPIVOTDATA("Umsatz IST",$E$3,"Land","Deutschland")</f>
        <v>115949</v>
      </c>
    </row>
    <row r="6" spans="1:10">
      <c r="A6" s="5" t="s">
        <v>52</v>
      </c>
      <c r="B6" s="6">
        <v>179742</v>
      </c>
      <c r="C6" s="6">
        <v>162413</v>
      </c>
      <c r="E6" s="5" t="s">
        <v>28</v>
      </c>
      <c r="F6" s="6">
        <v>129292</v>
      </c>
      <c r="H6" s="5" t="str">
        <f t="shared" ref="H6:H11" si="0">E6</f>
        <v>Frankreich</v>
      </c>
      <c r="I6">
        <f>GETPIVOTDATA("Umsatz IST",$E$3,"Land","Italia")</f>
        <v>115444</v>
      </c>
    </row>
    <row r="7" spans="1:10">
      <c r="A7" s="5" t="s">
        <v>53</v>
      </c>
      <c r="B7" s="6">
        <v>147947</v>
      </c>
      <c r="C7" s="6">
        <v>167764</v>
      </c>
      <c r="E7" s="5" t="s">
        <v>25</v>
      </c>
      <c r="F7" s="6">
        <v>115444</v>
      </c>
      <c r="H7" s="5" t="str">
        <f t="shared" si="0"/>
        <v>Italia</v>
      </c>
      <c r="I7">
        <f>GETPIVOTDATA("Umsatz IST",$E$3,"Land","Italia")</f>
        <v>115444</v>
      </c>
    </row>
    <row r="8" spans="1:10">
      <c r="A8" s="5" t="s">
        <v>54</v>
      </c>
      <c r="B8" s="6">
        <v>172954</v>
      </c>
      <c r="C8" s="6">
        <v>181166</v>
      </c>
      <c r="E8" s="5" t="s">
        <v>37</v>
      </c>
      <c r="F8" s="6">
        <v>106890</v>
      </c>
      <c r="H8" s="5" t="str">
        <f t="shared" si="0"/>
        <v>Kroatien</v>
      </c>
      <c r="I8">
        <f>GETPIVOTDATA("Umsatz IST",$E$3,"Land","Kroatien")</f>
        <v>106890</v>
      </c>
    </row>
    <row r="9" spans="1:10">
      <c r="A9" s="5" t="s">
        <v>55</v>
      </c>
      <c r="B9" s="6">
        <v>168308</v>
      </c>
      <c r="C9" s="6"/>
      <c r="E9" s="5" t="s">
        <v>21</v>
      </c>
      <c r="F9" s="6">
        <v>137244</v>
      </c>
      <c r="H9" s="5" t="str">
        <f t="shared" si="0"/>
        <v>Luxemburg</v>
      </c>
      <c r="I9">
        <f>GETPIVOTDATA("Umsatz IST",$E$3,"Land","Luxemburg")</f>
        <v>137244</v>
      </c>
    </row>
    <row r="10" spans="1:10">
      <c r="A10" s="5" t="s">
        <v>56</v>
      </c>
      <c r="B10" s="6">
        <v>175815</v>
      </c>
      <c r="C10" s="6"/>
      <c r="E10" s="5" t="s">
        <v>40</v>
      </c>
      <c r="F10" s="6">
        <v>116069</v>
      </c>
      <c r="H10" s="5" t="str">
        <f t="shared" si="0"/>
        <v>Niederlande</v>
      </c>
      <c r="I10">
        <f>GETPIVOTDATA("Umsatz IST",$E$3,"Land","Niederlande")</f>
        <v>116069</v>
      </c>
    </row>
    <row r="11" spans="1:10">
      <c r="A11" s="5" t="s">
        <v>57</v>
      </c>
      <c r="B11" s="6">
        <v>172159</v>
      </c>
      <c r="C11" s="6"/>
      <c r="E11" s="5" t="s">
        <v>31</v>
      </c>
      <c r="F11" s="6">
        <v>140108</v>
      </c>
      <c r="H11" s="5" t="str">
        <f t="shared" si="0"/>
        <v>Österreich</v>
      </c>
      <c r="I11">
        <f>GETPIVOTDATA("Umsatz IST",$E$3,"Land","Österreich")</f>
        <v>140108</v>
      </c>
    </row>
    <row r="12" spans="1:10">
      <c r="A12" s="5" t="s">
        <v>58</v>
      </c>
      <c r="B12" s="6">
        <v>172401</v>
      </c>
      <c r="C12" s="6"/>
      <c r="E12" s="5" t="s">
        <v>38</v>
      </c>
      <c r="F12" s="6">
        <v>112851</v>
      </c>
      <c r="H12" s="5" t="str">
        <f t="shared" ref="H12" si="1">E12</f>
        <v>Polen</v>
      </c>
      <c r="I12">
        <f>GETPIVOTDATA("Umsatz IST",$E$3,"Land","Polen")</f>
        <v>112851</v>
      </c>
    </row>
    <row r="13" spans="1:10">
      <c r="A13" s="5" t="s">
        <v>59</v>
      </c>
      <c r="B13" s="6">
        <v>175167</v>
      </c>
      <c r="C13" s="6"/>
      <c r="E13" s="5" t="s">
        <v>35</v>
      </c>
      <c r="F13" s="6">
        <v>111767</v>
      </c>
      <c r="H13" t="s">
        <v>35</v>
      </c>
      <c r="I13">
        <f>GETPIVOTDATA("Umsatz IST",$E$3,"Land","Schweiz")</f>
        <v>111767</v>
      </c>
    </row>
    <row r="14" spans="1:10">
      <c r="A14" s="5" t="s">
        <v>47</v>
      </c>
      <c r="B14" s="6">
        <v>2045424</v>
      </c>
      <c r="C14" s="6">
        <v>1178963</v>
      </c>
      <c r="E14" s="5" t="s">
        <v>72</v>
      </c>
      <c r="F14" s="6"/>
    </row>
    <row r="15" spans="1:10">
      <c r="E15" s="5" t="s">
        <v>47</v>
      </c>
      <c r="F15" s="6">
        <v>1178963</v>
      </c>
      <c r="J15" t="s">
        <v>130</v>
      </c>
    </row>
    <row r="19" spans="1:5">
      <c r="E19" t="s">
        <v>132</v>
      </c>
    </row>
    <row r="30" spans="1:5">
      <c r="A30" t="s">
        <v>131</v>
      </c>
    </row>
  </sheetData>
  <pageMargins left="0.7" right="0.7" top="0.78740157499999996" bottom="0.78740157499999996"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2547-49FC-3843-937B-E85513325C6A}">
  <dimension ref="A1:L42"/>
  <sheetViews>
    <sheetView topLeftCell="A9" zoomScale="130" zoomScaleNormal="130" workbookViewId="0">
      <selection activeCell="C59" sqref="C59"/>
    </sheetView>
  </sheetViews>
  <sheetFormatPr baseColWidth="10" defaultRowHeight="16"/>
  <cols>
    <col min="1" max="1" width="21.33203125" customWidth="1"/>
    <col min="2" max="2" width="21.5" bestFit="1" customWidth="1"/>
    <col min="3" max="3" width="18.1640625" bestFit="1" customWidth="1"/>
    <col min="4" max="4" width="3.5" customWidth="1"/>
    <col min="5" max="5" width="21.5" bestFit="1" customWidth="1"/>
    <col min="6" max="6" width="18.1640625" bestFit="1" customWidth="1"/>
    <col min="7" max="8" width="25.5" bestFit="1" customWidth="1"/>
  </cols>
  <sheetData>
    <row r="1" spans="1:12">
      <c r="A1" s="16"/>
      <c r="B1" s="16"/>
      <c r="C1" s="16"/>
    </row>
    <row r="2" spans="1:12">
      <c r="A2" s="17"/>
      <c r="B2" s="16"/>
      <c r="C2" s="16"/>
    </row>
    <row r="3" spans="1:12">
      <c r="A3" s="17"/>
      <c r="B3" s="16"/>
      <c r="C3" s="16"/>
    </row>
    <row r="4" spans="1:12">
      <c r="A4" s="17"/>
      <c r="B4" s="16"/>
      <c r="C4" s="16"/>
    </row>
    <row r="5" spans="1:12">
      <c r="A5" s="17"/>
      <c r="B5" s="16"/>
      <c r="C5" s="16"/>
    </row>
    <row r="6" spans="1:12">
      <c r="A6" s="17"/>
      <c r="B6" s="16"/>
      <c r="C6" s="16"/>
    </row>
    <row r="7" spans="1:12">
      <c r="A7" s="17"/>
      <c r="B7" s="16"/>
      <c r="C7" s="16"/>
    </row>
    <row r="8" spans="1:12">
      <c r="A8" s="17"/>
      <c r="B8" s="16"/>
      <c r="C8" s="16"/>
    </row>
    <row r="9" spans="1:12">
      <c r="A9" s="17"/>
      <c r="B9" s="16"/>
      <c r="C9" s="16"/>
    </row>
    <row r="10" spans="1:12">
      <c r="A10" s="17"/>
      <c r="B10" s="16"/>
      <c r="C10" s="16"/>
    </row>
    <row r="11" spans="1:12">
      <c r="A11" s="17"/>
      <c r="B11" s="16"/>
      <c r="C11" s="16"/>
      <c r="F11" s="5"/>
      <c r="G11" s="6"/>
      <c r="H11" s="6"/>
      <c r="I11" s="5"/>
      <c r="J11" s="6"/>
      <c r="K11" s="6"/>
      <c r="L11" s="5"/>
    </row>
    <row r="12" spans="1:12">
      <c r="A12" s="17"/>
      <c r="B12" s="16"/>
      <c r="C12" s="16"/>
      <c r="F12" s="5"/>
      <c r="G12" s="6"/>
      <c r="H12" s="6"/>
      <c r="I12" s="5"/>
      <c r="J12" s="6"/>
      <c r="K12" s="6"/>
      <c r="L12" s="5"/>
    </row>
    <row r="13" spans="1:12" ht="21">
      <c r="A13" s="17"/>
      <c r="B13" s="64" t="s">
        <v>125</v>
      </c>
      <c r="C13" s="16"/>
      <c r="F13" s="5"/>
      <c r="G13" s="6"/>
      <c r="H13" s="6"/>
      <c r="I13" s="5"/>
      <c r="J13" s="6"/>
      <c r="K13" s="6"/>
      <c r="L13" s="5"/>
    </row>
    <row r="14" spans="1:12">
      <c r="A14" s="18"/>
      <c r="B14" s="19"/>
      <c r="C14" s="19"/>
      <c r="F14" s="5"/>
      <c r="G14" s="6"/>
      <c r="H14" s="6"/>
      <c r="I14" s="5"/>
      <c r="J14" s="6"/>
      <c r="K14" s="6"/>
      <c r="L14" s="5"/>
    </row>
    <row r="15" spans="1:12">
      <c r="A15" s="15"/>
      <c r="B15" s="15"/>
      <c r="C15" s="15"/>
      <c r="F15" s="5"/>
      <c r="G15" s="6"/>
      <c r="H15" s="6"/>
      <c r="I15" s="5"/>
      <c r="J15" s="6"/>
      <c r="K15" s="6"/>
      <c r="L15" s="5"/>
    </row>
    <row r="16" spans="1:12">
      <c r="F16" s="5"/>
      <c r="G16" s="6"/>
      <c r="H16" s="6"/>
      <c r="I16" s="5"/>
      <c r="J16" s="6"/>
      <c r="K16" s="6"/>
      <c r="L16" s="5"/>
    </row>
    <row r="17" spans="1:12">
      <c r="F17" s="5"/>
      <c r="G17" s="6"/>
      <c r="H17" s="6"/>
      <c r="I17" s="5"/>
      <c r="J17" s="6"/>
      <c r="K17" s="6"/>
      <c r="L17" s="5"/>
    </row>
    <row r="18" spans="1:12">
      <c r="F18" s="5"/>
      <c r="G18" s="6"/>
      <c r="H18" s="6"/>
      <c r="I18" s="5"/>
      <c r="J18" s="6"/>
      <c r="K18" s="6"/>
      <c r="L18" s="5"/>
    </row>
    <row r="19" spans="1:12">
      <c r="F19" s="5"/>
      <c r="G19" s="6"/>
      <c r="H19" s="6"/>
      <c r="I19" s="5"/>
      <c r="J19" s="6"/>
      <c r="K19" s="6"/>
      <c r="L19" s="5"/>
    </row>
    <row r="20" spans="1:12">
      <c r="F20" s="5"/>
      <c r="G20" s="6"/>
      <c r="H20" s="6"/>
      <c r="I20" s="5"/>
      <c r="J20" s="6"/>
      <c r="K20" s="6"/>
      <c r="L20" s="5"/>
    </row>
    <row r="21" spans="1:12">
      <c r="B21" s="61" t="s">
        <v>74</v>
      </c>
      <c r="E21" s="61" t="s">
        <v>8</v>
      </c>
      <c r="F21" s="5"/>
      <c r="G21" s="6"/>
      <c r="H21" s="6"/>
      <c r="I21" s="5"/>
      <c r="J21" s="6"/>
      <c r="K21" s="6"/>
      <c r="L21" s="5"/>
    </row>
    <row r="22" spans="1:12">
      <c r="B22" s="4" t="s">
        <v>46</v>
      </c>
      <c r="C22" t="s">
        <v>73</v>
      </c>
      <c r="E22" s="4" t="s">
        <v>46</v>
      </c>
      <c r="F22" t="s">
        <v>73</v>
      </c>
      <c r="I22" s="5"/>
      <c r="J22" s="6"/>
      <c r="K22" s="6"/>
      <c r="L22" s="5"/>
    </row>
    <row r="23" spans="1:12">
      <c r="B23" s="5" t="s">
        <v>17</v>
      </c>
      <c r="C23" s="6">
        <v>78</v>
      </c>
      <c r="E23" s="5" t="s">
        <v>44</v>
      </c>
      <c r="F23" s="6">
        <v>7</v>
      </c>
      <c r="I23" s="5"/>
      <c r="J23" s="6"/>
      <c r="K23" s="6"/>
      <c r="L23" s="5"/>
    </row>
    <row r="24" spans="1:12">
      <c r="B24" s="5" t="s">
        <v>23</v>
      </c>
      <c r="C24" s="6">
        <v>134</v>
      </c>
      <c r="E24" s="5" t="s">
        <v>18</v>
      </c>
      <c r="F24" s="6">
        <v>205</v>
      </c>
    </row>
    <row r="25" spans="1:12">
      <c r="B25" s="5" t="s">
        <v>47</v>
      </c>
      <c r="C25" s="6">
        <v>212</v>
      </c>
      <c r="E25" s="5" t="s">
        <v>47</v>
      </c>
      <c r="F25" s="6">
        <v>212</v>
      </c>
    </row>
    <row r="29" spans="1:12">
      <c r="A29" t="s">
        <v>123</v>
      </c>
      <c r="B29" s="70" t="s">
        <v>7</v>
      </c>
      <c r="C29" s="70"/>
      <c r="E29" s="70" t="s">
        <v>8</v>
      </c>
      <c r="F29" s="70"/>
      <c r="H29" t="s">
        <v>124</v>
      </c>
    </row>
    <row r="30" spans="1:12">
      <c r="B30" t="s">
        <v>79</v>
      </c>
      <c r="C30" s="20">
        <v>0.75</v>
      </c>
      <c r="E30" t="s">
        <v>80</v>
      </c>
      <c r="F30" s="20">
        <v>0.01</v>
      </c>
    </row>
    <row r="31" spans="1:12">
      <c r="B31" t="s">
        <v>81</v>
      </c>
      <c r="C31" s="20">
        <v>0.05</v>
      </c>
      <c r="E31" t="s">
        <v>82</v>
      </c>
      <c r="F31" s="20">
        <v>0.02</v>
      </c>
    </row>
    <row r="32" spans="1:12">
      <c r="B32" t="s">
        <v>82</v>
      </c>
      <c r="C32" s="20">
        <v>0.1</v>
      </c>
      <c r="E32" t="s">
        <v>81</v>
      </c>
      <c r="F32" s="20">
        <v>0.03</v>
      </c>
    </row>
    <row r="33" spans="2:8" ht="17" thickBot="1">
      <c r="B33" t="s">
        <v>80</v>
      </c>
      <c r="C33" s="20">
        <v>0.1</v>
      </c>
      <c r="E33" t="s">
        <v>79</v>
      </c>
      <c r="F33" s="20">
        <v>0.03</v>
      </c>
    </row>
    <row r="34" spans="2:8" ht="17" thickBot="1">
      <c r="B34" t="s">
        <v>83</v>
      </c>
      <c r="C34" s="60">
        <f>C24/C25</f>
        <v>0.63207547169811318</v>
      </c>
      <c r="E34" t="s">
        <v>83</v>
      </c>
      <c r="F34" s="60">
        <f>F23/F25</f>
        <v>3.3018867924528301E-2</v>
      </c>
    </row>
    <row r="35" spans="2:8">
      <c r="B35" t="s">
        <v>84</v>
      </c>
      <c r="C35" s="62">
        <v>0.97</v>
      </c>
      <c r="E35" t="s">
        <v>84</v>
      </c>
      <c r="F35" s="62">
        <v>0.03</v>
      </c>
    </row>
    <row r="39" spans="2:8">
      <c r="B39" s="61" t="s">
        <v>121</v>
      </c>
      <c r="E39" s="61" t="s">
        <v>122</v>
      </c>
    </row>
    <row r="42" spans="2:8">
      <c r="H42" t="s">
        <v>129</v>
      </c>
    </row>
  </sheetData>
  <mergeCells count="2">
    <mergeCell ref="B29:C29"/>
    <mergeCell ref="E29:F29"/>
  </mergeCells>
  <pageMargins left="0.7" right="0.7" top="0.78740157499999996" bottom="0.78740157499999996"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314A6-BF6D-5847-A90C-811722829FCB}">
  <dimension ref="A2:J45"/>
  <sheetViews>
    <sheetView zoomScale="125" zoomScaleNormal="170" workbookViewId="0">
      <selection activeCell="F37" sqref="F37"/>
    </sheetView>
  </sheetViews>
  <sheetFormatPr baseColWidth="10" defaultRowHeight="16"/>
  <cols>
    <col min="1" max="1" width="21" bestFit="1" customWidth="1"/>
    <col min="2" max="2" width="24.6640625" bestFit="1" customWidth="1"/>
    <col min="3" max="3" width="24" bestFit="1" customWidth="1"/>
    <col min="4" max="4" width="11.83203125" bestFit="1" customWidth="1"/>
  </cols>
  <sheetData>
    <row r="2" spans="1:3">
      <c r="A2" s="61" t="s">
        <v>128</v>
      </c>
    </row>
    <row r="3" spans="1:3">
      <c r="A3" s="4" t="s">
        <v>1</v>
      </c>
      <c r="B3" t="s">
        <v>85</v>
      </c>
    </row>
    <row r="4" spans="1:3">
      <c r="A4" s="4" t="s">
        <v>78</v>
      </c>
      <c r="B4" t="s">
        <v>86</v>
      </c>
    </row>
    <row r="6" spans="1:3">
      <c r="A6" s="4" t="s">
        <v>46</v>
      </c>
      <c r="B6" t="s">
        <v>75</v>
      </c>
      <c r="C6" t="s">
        <v>76</v>
      </c>
    </row>
    <row r="7" spans="1:3">
      <c r="A7" s="5" t="s">
        <v>63</v>
      </c>
      <c r="B7" s="6">
        <v>98</v>
      </c>
      <c r="C7" s="6">
        <v>100</v>
      </c>
    </row>
    <row r="8" spans="1:3">
      <c r="A8" s="5" t="s">
        <v>65</v>
      </c>
      <c r="B8" s="6">
        <v>14</v>
      </c>
      <c r="C8" s="6">
        <v>40</v>
      </c>
    </row>
    <row r="9" spans="1:3">
      <c r="A9" s="5" t="s">
        <v>64</v>
      </c>
      <c r="B9" s="6">
        <v>48</v>
      </c>
      <c r="C9" s="6">
        <v>96</v>
      </c>
    </row>
    <row r="10" spans="1:3">
      <c r="A10" s="5" t="s">
        <v>62</v>
      </c>
      <c r="B10" s="6">
        <v>52</v>
      </c>
      <c r="C10" s="6">
        <v>37</v>
      </c>
    </row>
    <row r="11" spans="1:3">
      <c r="A11" s="5" t="s">
        <v>47</v>
      </c>
      <c r="B11" s="6">
        <v>212</v>
      </c>
      <c r="C11" s="6">
        <v>273</v>
      </c>
    </row>
    <row r="30" spans="4:4">
      <c r="D30" t="s">
        <v>133</v>
      </c>
    </row>
    <row r="45" spans="10:10">
      <c r="J45" s="15"/>
    </row>
  </sheetData>
  <pageMargins left="0.7" right="0.7" top="0.78740157499999996" bottom="0.78740157499999996"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B2805-B19A-1B41-855A-6F0A0CC69085}">
  <dimension ref="B1:G15"/>
  <sheetViews>
    <sheetView zoomScale="118" zoomScaleNormal="160" workbookViewId="0">
      <selection activeCell="E36" sqref="E36"/>
    </sheetView>
  </sheetViews>
  <sheetFormatPr baseColWidth="10" defaultRowHeight="16"/>
  <cols>
    <col min="2" max="2" width="21" bestFit="1" customWidth="1"/>
    <col min="3" max="3" width="22.33203125" bestFit="1" customWidth="1"/>
    <col min="4" max="4" width="7.33203125" bestFit="1" customWidth="1"/>
    <col min="5" max="5" width="11.33203125" bestFit="1" customWidth="1"/>
    <col min="6" max="6" width="9" bestFit="1" customWidth="1"/>
    <col min="7" max="7" width="13.1640625" bestFit="1" customWidth="1"/>
    <col min="8" max="9" width="14.6640625" bestFit="1" customWidth="1"/>
  </cols>
  <sheetData>
    <row r="1" spans="2:7" ht="21">
      <c r="B1" s="63" t="s">
        <v>127</v>
      </c>
    </row>
    <row r="4" spans="2:7">
      <c r="B4" s="4" t="s">
        <v>73</v>
      </c>
      <c r="C4" s="4" t="s">
        <v>77</v>
      </c>
    </row>
    <row r="5" spans="2:7">
      <c r="B5" s="4" t="s">
        <v>46</v>
      </c>
      <c r="C5" t="s">
        <v>41</v>
      </c>
      <c r="D5" t="s">
        <v>43</v>
      </c>
      <c r="E5" t="s">
        <v>42</v>
      </c>
      <c r="F5" t="s">
        <v>33</v>
      </c>
      <c r="G5" t="s">
        <v>19</v>
      </c>
    </row>
    <row r="6" spans="2:7">
      <c r="B6" s="5" t="s">
        <v>14</v>
      </c>
      <c r="C6" s="6">
        <v>3</v>
      </c>
      <c r="D6" s="6">
        <v>9</v>
      </c>
      <c r="E6" s="6">
        <v>3</v>
      </c>
      <c r="F6" s="6">
        <v>16</v>
      </c>
      <c r="G6" s="6">
        <v>5</v>
      </c>
    </row>
    <row r="7" spans="2:7">
      <c r="B7" s="5" t="s">
        <v>20</v>
      </c>
      <c r="C7" s="6">
        <v>4</v>
      </c>
      <c r="D7" s="6">
        <v>7</v>
      </c>
      <c r="E7" s="6">
        <v>2</v>
      </c>
      <c r="F7" s="6">
        <v>18</v>
      </c>
      <c r="G7" s="6">
        <v>5</v>
      </c>
    </row>
    <row r="8" spans="2:7">
      <c r="B8" s="5" t="s">
        <v>24</v>
      </c>
      <c r="C8" s="6">
        <v>5</v>
      </c>
      <c r="D8" s="6">
        <v>7</v>
      </c>
      <c r="E8" s="6">
        <v>2</v>
      </c>
      <c r="F8" s="6">
        <v>17</v>
      </c>
      <c r="G8" s="6">
        <v>4</v>
      </c>
    </row>
    <row r="9" spans="2:7">
      <c r="B9" s="5" t="s">
        <v>27</v>
      </c>
      <c r="C9" s="6">
        <v>4</v>
      </c>
      <c r="D9" s="6">
        <v>6</v>
      </c>
      <c r="E9" s="6">
        <v>5</v>
      </c>
      <c r="F9" s="6">
        <v>15</v>
      </c>
      <c r="G9" s="6">
        <v>5</v>
      </c>
    </row>
    <row r="10" spans="2:7">
      <c r="B10" s="5" t="s">
        <v>30</v>
      </c>
      <c r="C10" s="6">
        <v>4</v>
      </c>
      <c r="D10" s="6">
        <v>7</v>
      </c>
      <c r="E10" s="6">
        <v>3</v>
      </c>
      <c r="F10" s="6">
        <v>18</v>
      </c>
      <c r="G10" s="6">
        <v>3</v>
      </c>
    </row>
    <row r="11" spans="2:7">
      <c r="B11" s="5" t="s">
        <v>34</v>
      </c>
      <c r="C11" s="6">
        <v>3</v>
      </c>
      <c r="D11" s="6">
        <v>7</v>
      </c>
      <c r="E11" s="6">
        <v>4</v>
      </c>
      <c r="F11" s="6">
        <v>18</v>
      </c>
      <c r="G11" s="6">
        <v>3</v>
      </c>
    </row>
    <row r="12" spans="2:7">
      <c r="B12" s="5" t="s">
        <v>47</v>
      </c>
      <c r="C12" s="6">
        <v>23</v>
      </c>
      <c r="D12" s="6">
        <v>43</v>
      </c>
      <c r="E12" s="6">
        <v>19</v>
      </c>
      <c r="F12" s="6">
        <v>102</v>
      </c>
      <c r="G12" s="6">
        <v>25</v>
      </c>
    </row>
    <row r="15" spans="2:7">
      <c r="G15" t="s">
        <v>134</v>
      </c>
    </row>
  </sheetData>
  <pageMargins left="0.7" right="0.7" top="0.78740157499999996" bottom="0.78740157499999996"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1118C-2B40-D541-B7AC-063D8B608F5E}">
  <dimension ref="A1:R61"/>
  <sheetViews>
    <sheetView zoomScaleNormal="80" workbookViewId="0">
      <selection activeCell="I57" sqref="I57"/>
    </sheetView>
  </sheetViews>
  <sheetFormatPr baseColWidth="10" defaultRowHeight="16"/>
  <cols>
    <col min="7" max="7" width="16.83203125" customWidth="1"/>
    <col min="14" max="14" width="19.33203125" customWidth="1"/>
    <col min="15" max="15" width="21" customWidth="1"/>
  </cols>
  <sheetData>
    <row r="1" spans="1:18" ht="26" customHeight="1" thickBot="1">
      <c r="A1" t="s">
        <v>87</v>
      </c>
      <c r="B1" s="37" t="s">
        <v>95</v>
      </c>
      <c r="C1" s="37" t="s">
        <v>96</v>
      </c>
      <c r="D1" s="37" t="s">
        <v>97</v>
      </c>
      <c r="E1" s="37" t="s">
        <v>98</v>
      </c>
      <c r="F1">
        <v>1</v>
      </c>
      <c r="H1" s="61" t="s">
        <v>135</v>
      </c>
      <c r="N1" s="59" t="s">
        <v>118</v>
      </c>
      <c r="O1" s="59"/>
      <c r="P1" s="54"/>
      <c r="Q1" s="54"/>
      <c r="R1" s="54"/>
    </row>
    <row r="2" spans="1:18" ht="17" thickBot="1">
      <c r="B2" s="71" t="s">
        <v>88</v>
      </c>
      <c r="C2" s="72"/>
      <c r="D2" s="72"/>
      <c r="E2" s="73"/>
      <c r="F2">
        <v>2</v>
      </c>
      <c r="N2" s="55" t="s">
        <v>116</v>
      </c>
      <c r="O2" s="55" t="s">
        <v>115</v>
      </c>
      <c r="P2" s="54"/>
      <c r="Q2" s="54" t="s">
        <v>114</v>
      </c>
      <c r="R2" s="56" t="s">
        <v>117</v>
      </c>
    </row>
    <row r="3" spans="1:18" ht="17" thickBot="1">
      <c r="A3" s="30" t="s">
        <v>2</v>
      </c>
      <c r="B3" s="27" t="s">
        <v>89</v>
      </c>
      <c r="C3" s="28" t="s">
        <v>90</v>
      </c>
      <c r="D3" s="28" t="s">
        <v>91</v>
      </c>
      <c r="E3" s="29" t="s">
        <v>92</v>
      </c>
      <c r="F3">
        <v>3</v>
      </c>
      <c r="N3" s="21">
        <v>1</v>
      </c>
      <c r="O3" s="21">
        <v>2</v>
      </c>
      <c r="P3" s="54"/>
      <c r="Q3" s="57">
        <v>1</v>
      </c>
      <c r="R3" s="57">
        <f>COUNTIF($O$3:$O$16,Q3)</f>
        <v>4</v>
      </c>
    </row>
    <row r="4" spans="1:18">
      <c r="A4" s="31" t="s">
        <v>14</v>
      </c>
      <c r="B4" s="23">
        <v>150</v>
      </c>
      <c r="C4" s="22">
        <v>130</v>
      </c>
      <c r="D4" s="22">
        <v>160</v>
      </c>
      <c r="E4" s="22">
        <v>155</v>
      </c>
      <c r="F4">
        <v>4</v>
      </c>
      <c r="N4" s="21">
        <v>2</v>
      </c>
      <c r="O4" s="21">
        <v>4</v>
      </c>
      <c r="P4" s="54"/>
      <c r="Q4" s="54">
        <v>2</v>
      </c>
      <c r="R4" s="56">
        <f>COUNTIF($O$3:$O$16,Q4)</f>
        <v>3</v>
      </c>
    </row>
    <row r="5" spans="1:18">
      <c r="A5" s="32" t="s">
        <v>20</v>
      </c>
      <c r="B5" s="24">
        <v>40</v>
      </c>
      <c r="C5" s="21">
        <v>35</v>
      </c>
      <c r="D5" s="21">
        <v>35</v>
      </c>
      <c r="E5" s="36">
        <v>30</v>
      </c>
      <c r="F5">
        <v>5</v>
      </c>
      <c r="N5" s="39">
        <v>3</v>
      </c>
      <c r="O5" s="58">
        <v>1</v>
      </c>
      <c r="P5" s="54"/>
      <c r="Q5" s="54">
        <v>3</v>
      </c>
      <c r="R5" s="56">
        <f>COUNTIF($O$3:$O$16,Q5)</f>
        <v>2</v>
      </c>
    </row>
    <row r="6" spans="1:18">
      <c r="A6" s="32" t="s">
        <v>24</v>
      </c>
      <c r="B6" s="24">
        <v>15</v>
      </c>
      <c r="C6" s="21">
        <v>25</v>
      </c>
      <c r="D6" s="21">
        <v>25</v>
      </c>
      <c r="E6" s="21">
        <v>20</v>
      </c>
      <c r="F6">
        <v>6</v>
      </c>
      <c r="N6" s="21">
        <v>4</v>
      </c>
      <c r="O6" s="21">
        <v>4</v>
      </c>
      <c r="P6" s="54"/>
      <c r="Q6" s="56">
        <v>4</v>
      </c>
      <c r="R6" s="56">
        <f t="shared" ref="R6" si="0">COUNTIF($O$3:$O$16,Q6)</f>
        <v>3</v>
      </c>
    </row>
    <row r="7" spans="1:18">
      <c r="A7" s="32" t="s">
        <v>27</v>
      </c>
      <c r="B7" s="24">
        <v>55</v>
      </c>
      <c r="C7" s="21">
        <v>50</v>
      </c>
      <c r="D7" s="21">
        <v>70</v>
      </c>
      <c r="E7" s="21">
        <v>55</v>
      </c>
      <c r="F7">
        <v>7</v>
      </c>
      <c r="N7" s="21">
        <v>5</v>
      </c>
      <c r="O7" s="21">
        <v>1</v>
      </c>
      <c r="P7" s="54"/>
      <c r="Q7" s="56">
        <v>5</v>
      </c>
      <c r="R7" s="56">
        <f>COUNTIF($O$3:$O$16,Q7)</f>
        <v>0</v>
      </c>
    </row>
    <row r="8" spans="1:18">
      <c r="A8" s="32" t="s">
        <v>30</v>
      </c>
      <c r="B8" s="24">
        <v>60</v>
      </c>
      <c r="C8" s="21">
        <v>45</v>
      </c>
      <c r="D8" s="21">
        <v>55</v>
      </c>
      <c r="E8" s="21">
        <v>50</v>
      </c>
      <c r="F8">
        <v>8</v>
      </c>
      <c r="N8" s="21">
        <v>6</v>
      </c>
      <c r="O8" s="21">
        <v>3</v>
      </c>
      <c r="P8" s="54"/>
      <c r="Q8" s="56">
        <v>6</v>
      </c>
      <c r="R8" s="56">
        <f>COUNTIF($O$3:$O$16,Q8)</f>
        <v>2</v>
      </c>
    </row>
    <row r="9" spans="1:18" ht="17" thickBot="1">
      <c r="A9" s="33" t="s">
        <v>34</v>
      </c>
      <c r="B9" s="24">
        <v>30</v>
      </c>
      <c r="C9" s="21">
        <v>30</v>
      </c>
      <c r="D9" s="21">
        <v>25</v>
      </c>
      <c r="E9" s="21">
        <v>30</v>
      </c>
      <c r="F9">
        <v>9</v>
      </c>
      <c r="N9" s="21">
        <v>7</v>
      </c>
      <c r="O9" s="21">
        <v>4</v>
      </c>
      <c r="P9" s="54"/>
      <c r="Q9" s="54"/>
      <c r="R9" s="54"/>
    </row>
    <row r="10" spans="1:18">
      <c r="N10" s="21">
        <v>8</v>
      </c>
      <c r="O10" s="21">
        <v>6</v>
      </c>
      <c r="P10" s="54"/>
      <c r="Q10" s="54"/>
      <c r="R10" s="54"/>
    </row>
    <row r="11" spans="1:18" ht="17" thickBot="1">
      <c r="N11" s="21">
        <v>9</v>
      </c>
      <c r="O11" s="58">
        <v>1</v>
      </c>
      <c r="P11" s="54"/>
      <c r="Q11" s="54"/>
      <c r="R11" s="54"/>
    </row>
    <row r="12" spans="1:18" ht="17" thickBot="1">
      <c r="A12" s="40" t="s">
        <v>93</v>
      </c>
      <c r="B12" s="41">
        <v>4</v>
      </c>
      <c r="D12" s="46">
        <f>INDEX(A1:E9,B12,B13)</f>
        <v>150</v>
      </c>
      <c r="N12" s="21">
        <v>10</v>
      </c>
      <c r="O12" s="21">
        <v>2</v>
      </c>
      <c r="P12" s="54"/>
      <c r="Q12" s="54"/>
      <c r="R12" s="54"/>
    </row>
    <row r="13" spans="1:18" ht="17" thickBot="1">
      <c r="A13" s="42" t="s">
        <v>94</v>
      </c>
      <c r="B13" s="43">
        <v>2</v>
      </c>
      <c r="N13" s="21">
        <v>11</v>
      </c>
      <c r="O13" s="21">
        <v>2</v>
      </c>
      <c r="P13" s="54"/>
      <c r="Q13" s="54"/>
      <c r="R13" s="54"/>
    </row>
    <row r="14" spans="1:18">
      <c r="E14" t="s">
        <v>100</v>
      </c>
      <c r="N14" s="21">
        <v>12</v>
      </c>
      <c r="O14" s="21">
        <v>3</v>
      </c>
      <c r="P14" s="54"/>
      <c r="Q14" s="54"/>
      <c r="R14" s="54"/>
    </row>
    <row r="15" spans="1:18">
      <c r="A15" t="s">
        <v>99</v>
      </c>
      <c r="N15" s="21">
        <v>13</v>
      </c>
      <c r="O15" s="58">
        <v>1</v>
      </c>
      <c r="P15" s="54"/>
      <c r="Q15" s="54"/>
      <c r="R15" s="54"/>
    </row>
    <row r="16" spans="1:18">
      <c r="N16" s="21">
        <v>14</v>
      </c>
      <c r="O16" s="21">
        <v>6</v>
      </c>
      <c r="P16" s="54"/>
      <c r="Q16" s="54"/>
      <c r="R16" s="54"/>
    </row>
    <row r="17" spans="1:8" s="35" customFormat="1"/>
    <row r="18" spans="1:8" ht="17" thickBot="1">
      <c r="A18" t="s">
        <v>87</v>
      </c>
      <c r="B18" s="37" t="s">
        <v>95</v>
      </c>
      <c r="C18" s="37" t="s">
        <v>96</v>
      </c>
      <c r="D18" s="37" t="s">
        <v>97</v>
      </c>
      <c r="E18" s="37" t="s">
        <v>98</v>
      </c>
      <c r="F18">
        <v>1</v>
      </c>
      <c r="H18" s="61" t="s">
        <v>136</v>
      </c>
    </row>
    <row r="19" spans="1:8" ht="17" thickBot="1">
      <c r="B19" s="71" t="s">
        <v>88</v>
      </c>
      <c r="C19" s="72"/>
      <c r="D19" s="72"/>
      <c r="E19" s="73"/>
      <c r="F19">
        <v>2</v>
      </c>
    </row>
    <row r="20" spans="1:8" ht="17" thickBot="1">
      <c r="A20" s="30" t="s">
        <v>2</v>
      </c>
      <c r="B20" s="27" t="s">
        <v>89</v>
      </c>
      <c r="C20" s="28" t="s">
        <v>90</v>
      </c>
      <c r="D20" s="28" t="s">
        <v>91</v>
      </c>
      <c r="E20" s="29" t="s">
        <v>92</v>
      </c>
      <c r="F20">
        <v>3</v>
      </c>
    </row>
    <row r="21" spans="1:8">
      <c r="A21" s="31" t="s">
        <v>14</v>
      </c>
      <c r="B21" s="23">
        <v>150</v>
      </c>
      <c r="C21" s="22">
        <v>130</v>
      </c>
      <c r="D21" s="22">
        <v>160</v>
      </c>
      <c r="E21" s="22">
        <v>155</v>
      </c>
      <c r="F21">
        <v>4</v>
      </c>
    </row>
    <row r="22" spans="1:8">
      <c r="A22" s="32" t="s">
        <v>20</v>
      </c>
      <c r="B22" s="24">
        <v>40</v>
      </c>
      <c r="C22" s="21">
        <v>35</v>
      </c>
      <c r="D22" s="21">
        <v>35</v>
      </c>
      <c r="E22" s="36">
        <v>30</v>
      </c>
      <c r="F22">
        <v>5</v>
      </c>
    </row>
    <row r="23" spans="1:8">
      <c r="A23" s="32" t="s">
        <v>24</v>
      </c>
      <c r="B23" s="24">
        <v>15</v>
      </c>
      <c r="C23" s="21">
        <v>25</v>
      </c>
      <c r="D23" s="21">
        <v>25</v>
      </c>
      <c r="E23" s="21">
        <v>20</v>
      </c>
      <c r="F23">
        <v>6</v>
      </c>
    </row>
    <row r="24" spans="1:8">
      <c r="A24" s="32" t="s">
        <v>27</v>
      </c>
      <c r="B24" s="24">
        <v>55</v>
      </c>
      <c r="C24" s="21">
        <v>50</v>
      </c>
      <c r="D24" s="21">
        <v>70</v>
      </c>
      <c r="E24" s="21">
        <v>55</v>
      </c>
      <c r="F24">
        <v>7</v>
      </c>
    </row>
    <row r="25" spans="1:8">
      <c r="A25" s="32" t="s">
        <v>30</v>
      </c>
      <c r="B25" s="24">
        <v>60</v>
      </c>
      <c r="C25" s="21">
        <v>45</v>
      </c>
      <c r="D25" s="21">
        <v>55</v>
      </c>
      <c r="E25" s="21">
        <v>50</v>
      </c>
      <c r="F25">
        <v>8</v>
      </c>
    </row>
    <row r="26" spans="1:8" ht="17" thickBot="1">
      <c r="A26" s="33" t="s">
        <v>34</v>
      </c>
      <c r="B26" s="24">
        <v>30</v>
      </c>
      <c r="C26" s="21">
        <v>30</v>
      </c>
      <c r="D26" s="21">
        <v>25</v>
      </c>
      <c r="E26" s="21">
        <v>30</v>
      </c>
      <c r="F26">
        <v>9</v>
      </c>
    </row>
    <row r="28" spans="1:8" ht="17" thickBot="1"/>
    <row r="29" spans="1:8" ht="17" thickBot="1">
      <c r="A29" s="40" t="s">
        <v>2</v>
      </c>
      <c r="B29" s="44" t="s">
        <v>101</v>
      </c>
      <c r="D29" s="46">
        <f>INDEX(A18:E26,MATCH(B29,A18:A26,0),MATCH(B30,A20:E20,0))</f>
        <v>55</v>
      </c>
      <c r="F29" t="s">
        <v>102</v>
      </c>
    </row>
    <row r="30" spans="1:8" ht="17" thickBot="1">
      <c r="A30" s="42" t="s">
        <v>88</v>
      </c>
      <c r="B30" s="45" t="s">
        <v>89</v>
      </c>
    </row>
    <row r="35" spans="1:11">
      <c r="A35" s="34">
        <v>1500</v>
      </c>
      <c r="D35" s="34" t="s">
        <v>103</v>
      </c>
    </row>
    <row r="36" spans="1:11">
      <c r="A36">
        <v>1400</v>
      </c>
    </row>
    <row r="38" spans="1:11">
      <c r="A38">
        <f>A35</f>
        <v>1500</v>
      </c>
      <c r="B38" t="s">
        <v>104</v>
      </c>
      <c r="D38">
        <f ca="1">INDIRECT(D35)</f>
        <v>1400</v>
      </c>
      <c r="E38" t="s">
        <v>105</v>
      </c>
    </row>
    <row r="41" spans="1:11" s="35" customFormat="1"/>
    <row r="42" spans="1:11" ht="17" thickBot="1">
      <c r="F42" s="61" t="s">
        <v>137</v>
      </c>
    </row>
    <row r="43" spans="1:11">
      <c r="J43" s="50" t="s">
        <v>106</v>
      </c>
      <c r="K43" s="51" t="s">
        <v>111</v>
      </c>
    </row>
    <row r="44" spans="1:11">
      <c r="A44" t="s">
        <v>119</v>
      </c>
      <c r="J44" s="52" t="s">
        <v>108</v>
      </c>
      <c r="K44" s="68" t="s">
        <v>113</v>
      </c>
    </row>
    <row r="45" spans="1:11" ht="17" thickBot="1">
      <c r="J45" s="52"/>
      <c r="K45" s="53"/>
    </row>
    <row r="46" spans="1:11" ht="17" thickBot="1">
      <c r="A46" t="s">
        <v>106</v>
      </c>
      <c r="J46" s="25" t="s">
        <v>112</v>
      </c>
      <c r="K46" s="69" t="s">
        <v>113</v>
      </c>
    </row>
    <row r="47" spans="1:11" ht="17" thickBot="1">
      <c r="A47" s="38" t="s">
        <v>2</v>
      </c>
      <c r="B47" s="38" t="s">
        <v>89</v>
      </c>
      <c r="C47" s="38" t="s">
        <v>107</v>
      </c>
      <c r="D47" s="38" t="s">
        <v>91</v>
      </c>
    </row>
    <row r="48" spans="1:11">
      <c r="A48" s="21" t="s">
        <v>14</v>
      </c>
      <c r="B48" s="21">
        <v>20</v>
      </c>
      <c r="C48" s="21">
        <v>18</v>
      </c>
      <c r="D48" s="21">
        <v>22</v>
      </c>
      <c r="F48" s="40" t="s">
        <v>109</v>
      </c>
      <c r="G48" s="44" t="s">
        <v>106</v>
      </c>
      <c r="H48" t="s">
        <v>110</v>
      </c>
    </row>
    <row r="49" spans="1:7">
      <c r="A49" s="21" t="s">
        <v>20</v>
      </c>
      <c r="B49" s="21">
        <v>30</v>
      </c>
      <c r="C49" s="21">
        <v>25</v>
      </c>
      <c r="D49" s="21">
        <v>30</v>
      </c>
      <c r="F49" s="48" t="s">
        <v>2</v>
      </c>
      <c r="G49" s="49" t="s">
        <v>24</v>
      </c>
    </row>
    <row r="50" spans="1:7" ht="17" thickBot="1">
      <c r="A50" s="21" t="s">
        <v>24</v>
      </c>
      <c r="B50" s="21">
        <v>25</v>
      </c>
      <c r="C50" s="21">
        <v>30</v>
      </c>
      <c r="D50" s="21">
        <v>42</v>
      </c>
      <c r="F50" s="42" t="s">
        <v>88</v>
      </c>
      <c r="G50" s="45" t="s">
        <v>91</v>
      </c>
    </row>
    <row r="51" spans="1:7">
      <c r="A51" s="21" t="s">
        <v>27</v>
      </c>
      <c r="B51" s="21">
        <v>40</v>
      </c>
      <c r="C51" s="21">
        <v>35</v>
      </c>
      <c r="D51" s="21">
        <v>40</v>
      </c>
    </row>
    <row r="52" spans="1:7">
      <c r="A52" s="21" t="s">
        <v>30</v>
      </c>
      <c r="B52" s="21">
        <v>35</v>
      </c>
      <c r="C52" s="21">
        <v>35</v>
      </c>
      <c r="D52" s="21">
        <v>40</v>
      </c>
      <c r="G52" s="47">
        <f ca="1">INDEX(INDIRECT(K46),MATCH(G49,A46:A52,0),MATCH(G50,A47:D47,0))</f>
        <v>25</v>
      </c>
    </row>
    <row r="55" spans="1:7">
      <c r="A55" s="66" t="s">
        <v>108</v>
      </c>
      <c r="B55" s="66"/>
      <c r="C55" s="66"/>
      <c r="D55" s="66"/>
    </row>
    <row r="56" spans="1:7">
      <c r="A56" s="67" t="s">
        <v>2</v>
      </c>
      <c r="B56" s="67" t="s">
        <v>89</v>
      </c>
      <c r="C56" s="67" t="s">
        <v>107</v>
      </c>
      <c r="D56" s="67" t="s">
        <v>91</v>
      </c>
    </row>
    <row r="57" spans="1:7">
      <c r="A57" s="67" t="s">
        <v>14</v>
      </c>
      <c r="B57" s="67">
        <v>16</v>
      </c>
      <c r="C57" s="67">
        <v>18</v>
      </c>
      <c r="D57" s="67">
        <v>26</v>
      </c>
    </row>
    <row r="58" spans="1:7">
      <c r="A58" s="67" t="s">
        <v>20</v>
      </c>
      <c r="B58" s="67">
        <v>36</v>
      </c>
      <c r="C58" s="67">
        <v>22</v>
      </c>
      <c r="D58" s="67">
        <v>30</v>
      </c>
    </row>
    <row r="59" spans="1:7">
      <c r="A59" s="67" t="s">
        <v>24</v>
      </c>
      <c r="B59" s="67">
        <v>18</v>
      </c>
      <c r="C59" s="67">
        <v>20</v>
      </c>
      <c r="D59" s="67">
        <v>25</v>
      </c>
    </row>
    <row r="60" spans="1:7">
      <c r="A60" s="67" t="s">
        <v>27</v>
      </c>
      <c r="B60" s="67">
        <v>22</v>
      </c>
      <c r="C60" s="67">
        <v>40</v>
      </c>
      <c r="D60" s="67">
        <v>35</v>
      </c>
    </row>
    <row r="61" spans="1:7">
      <c r="A61" s="67" t="s">
        <v>30</v>
      </c>
      <c r="B61" s="67">
        <v>35</v>
      </c>
      <c r="C61" s="67">
        <v>25</v>
      </c>
      <c r="D61" s="67">
        <v>22</v>
      </c>
    </row>
  </sheetData>
  <mergeCells count="2">
    <mergeCell ref="B2:E2"/>
    <mergeCell ref="B19:E19"/>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DBC1-611D-BB49-A63A-DB052F5C9E04}">
  <dimension ref="A1:R61"/>
  <sheetViews>
    <sheetView zoomScale="125" zoomScaleNormal="160" workbookViewId="0">
      <selection activeCell="F33" sqref="F33"/>
    </sheetView>
  </sheetViews>
  <sheetFormatPr baseColWidth="10" defaultRowHeight="16"/>
  <cols>
    <col min="7" max="7" width="16.83203125" customWidth="1"/>
    <col min="14" max="14" width="19.33203125" customWidth="1"/>
    <col min="15" max="15" width="21" customWidth="1"/>
  </cols>
  <sheetData>
    <row r="1" spans="1:18" ht="26" customHeight="1" thickBot="1">
      <c r="A1" t="s">
        <v>87</v>
      </c>
      <c r="B1" s="37" t="s">
        <v>95</v>
      </c>
      <c r="C1" s="37" t="s">
        <v>96</v>
      </c>
      <c r="D1" s="37" t="s">
        <v>97</v>
      </c>
      <c r="E1" s="37" t="s">
        <v>98</v>
      </c>
      <c r="F1">
        <v>1</v>
      </c>
      <c r="H1" s="61" t="s">
        <v>135</v>
      </c>
      <c r="N1" s="59" t="s">
        <v>120</v>
      </c>
      <c r="O1" s="59"/>
      <c r="P1" s="54"/>
      <c r="Q1" s="54"/>
      <c r="R1" s="54"/>
    </row>
    <row r="2" spans="1:18" ht="17" thickBot="1">
      <c r="B2" s="71" t="s">
        <v>88</v>
      </c>
      <c r="C2" s="72"/>
      <c r="D2" s="72"/>
      <c r="E2" s="73"/>
      <c r="F2">
        <v>2</v>
      </c>
      <c r="N2" s="55" t="s">
        <v>116</v>
      </c>
      <c r="O2" s="55" t="s">
        <v>115</v>
      </c>
      <c r="P2" s="54"/>
      <c r="Q2" s="54" t="s">
        <v>114</v>
      </c>
      <c r="R2" s="56" t="s">
        <v>117</v>
      </c>
    </row>
    <row r="3" spans="1:18" ht="17" thickBot="1">
      <c r="A3" s="30" t="s">
        <v>2</v>
      </c>
      <c r="B3" s="27" t="s">
        <v>89</v>
      </c>
      <c r="C3" s="28" t="s">
        <v>90</v>
      </c>
      <c r="D3" s="28" t="s">
        <v>91</v>
      </c>
      <c r="E3" s="29" t="s">
        <v>92</v>
      </c>
      <c r="F3">
        <v>3</v>
      </c>
      <c r="N3" s="21">
        <v>1</v>
      </c>
      <c r="O3" s="21">
        <v>2</v>
      </c>
      <c r="P3" s="54"/>
      <c r="Q3" s="57">
        <v>1</v>
      </c>
      <c r="R3" s="57"/>
    </row>
    <row r="4" spans="1:18">
      <c r="A4" s="31" t="s">
        <v>14</v>
      </c>
      <c r="B4" s="23">
        <v>150</v>
      </c>
      <c r="C4" s="22">
        <v>130</v>
      </c>
      <c r="D4" s="22">
        <v>160</v>
      </c>
      <c r="E4" s="22">
        <v>155</v>
      </c>
      <c r="F4">
        <v>4</v>
      </c>
      <c r="N4" s="21">
        <v>2</v>
      </c>
      <c r="O4" s="21">
        <v>4</v>
      </c>
      <c r="P4" s="54"/>
      <c r="Q4" s="54">
        <v>2</v>
      </c>
      <c r="R4" s="56"/>
    </row>
    <row r="5" spans="1:18">
      <c r="A5" s="32" t="s">
        <v>20</v>
      </c>
      <c r="B5" s="24">
        <v>40</v>
      </c>
      <c r="C5" s="21">
        <v>35</v>
      </c>
      <c r="D5" s="21">
        <v>35</v>
      </c>
      <c r="E5" s="36">
        <v>30</v>
      </c>
      <c r="F5">
        <v>5</v>
      </c>
      <c r="N5" s="39">
        <v>3</v>
      </c>
      <c r="O5" s="58">
        <v>1</v>
      </c>
      <c r="P5" s="54"/>
      <c r="Q5" s="54">
        <v>3</v>
      </c>
      <c r="R5" s="56"/>
    </row>
    <row r="6" spans="1:18">
      <c r="A6" s="32" t="s">
        <v>24</v>
      </c>
      <c r="B6" s="24">
        <v>15</v>
      </c>
      <c r="C6" s="21">
        <v>25</v>
      </c>
      <c r="D6" s="21">
        <v>25</v>
      </c>
      <c r="E6" s="21">
        <v>20</v>
      </c>
      <c r="F6">
        <v>6</v>
      </c>
      <c r="N6" s="21">
        <v>4</v>
      </c>
      <c r="O6" s="21">
        <v>4</v>
      </c>
      <c r="P6" s="54"/>
      <c r="Q6" s="56">
        <v>4</v>
      </c>
      <c r="R6" s="56"/>
    </row>
    <row r="7" spans="1:18">
      <c r="A7" s="32" t="s">
        <v>27</v>
      </c>
      <c r="B7" s="24">
        <v>55</v>
      </c>
      <c r="C7" s="21">
        <v>50</v>
      </c>
      <c r="D7" s="21">
        <v>70</v>
      </c>
      <c r="E7" s="21">
        <v>55</v>
      </c>
      <c r="F7">
        <v>7</v>
      </c>
      <c r="N7" s="21">
        <v>5</v>
      </c>
      <c r="O7" s="21">
        <v>1</v>
      </c>
      <c r="P7" s="54"/>
      <c r="Q7" s="56">
        <v>5</v>
      </c>
      <c r="R7" s="56"/>
    </row>
    <row r="8" spans="1:18">
      <c r="A8" s="32" t="s">
        <v>30</v>
      </c>
      <c r="B8" s="24">
        <v>60</v>
      </c>
      <c r="C8" s="21">
        <v>45</v>
      </c>
      <c r="D8" s="21">
        <v>55</v>
      </c>
      <c r="E8" s="21">
        <v>50</v>
      </c>
      <c r="F8">
        <v>8</v>
      </c>
      <c r="N8" s="21">
        <v>6</v>
      </c>
      <c r="O8" s="21">
        <v>3</v>
      </c>
      <c r="P8" s="54"/>
      <c r="Q8" s="56">
        <v>6</v>
      </c>
      <c r="R8" s="56"/>
    </row>
    <row r="9" spans="1:18" ht="17" thickBot="1">
      <c r="A9" s="33" t="s">
        <v>34</v>
      </c>
      <c r="B9" s="24">
        <v>30</v>
      </c>
      <c r="C9" s="21">
        <v>30</v>
      </c>
      <c r="D9" s="21">
        <v>25</v>
      </c>
      <c r="E9" s="21">
        <v>30</v>
      </c>
      <c r="F9">
        <v>9</v>
      </c>
      <c r="N9" s="21">
        <v>7</v>
      </c>
      <c r="O9" s="21">
        <v>4</v>
      </c>
      <c r="P9" s="54"/>
      <c r="Q9" s="54"/>
      <c r="R9" s="54"/>
    </row>
    <row r="10" spans="1:18">
      <c r="N10" s="21">
        <v>8</v>
      </c>
      <c r="O10" s="21">
        <v>6</v>
      </c>
      <c r="P10" s="54"/>
      <c r="Q10" s="54"/>
      <c r="R10" s="54"/>
    </row>
    <row r="11" spans="1:18" ht="17" thickBot="1">
      <c r="N11" s="21">
        <v>9</v>
      </c>
      <c r="O11" s="58">
        <v>1</v>
      </c>
      <c r="P11" s="54"/>
      <c r="Q11" s="54"/>
      <c r="R11" s="54"/>
    </row>
    <row r="12" spans="1:18" ht="17" thickBot="1">
      <c r="A12" s="40" t="s">
        <v>93</v>
      </c>
      <c r="B12" s="41">
        <v>6</v>
      </c>
      <c r="D12" s="46"/>
      <c r="G12" s="61"/>
      <c r="N12" s="21">
        <v>10</v>
      </c>
      <c r="O12" s="21">
        <v>2</v>
      </c>
      <c r="P12" s="54"/>
      <c r="Q12" s="54"/>
      <c r="R12" s="54"/>
    </row>
    <row r="13" spans="1:18" ht="17" thickBot="1">
      <c r="A13" s="42" t="s">
        <v>94</v>
      </c>
      <c r="B13" s="43">
        <v>4</v>
      </c>
      <c r="N13" s="21">
        <v>11</v>
      </c>
      <c r="O13" s="21">
        <v>2</v>
      </c>
      <c r="P13" s="54"/>
      <c r="Q13" s="54"/>
      <c r="R13" s="54"/>
    </row>
    <row r="14" spans="1:18">
      <c r="E14" t="s">
        <v>100</v>
      </c>
      <c r="N14" s="21">
        <v>12</v>
      </c>
      <c r="O14" s="21">
        <v>3</v>
      </c>
      <c r="P14" s="54"/>
      <c r="Q14" s="54"/>
      <c r="R14" s="54"/>
    </row>
    <row r="15" spans="1:18">
      <c r="A15" t="s">
        <v>99</v>
      </c>
      <c r="N15" s="21">
        <v>13</v>
      </c>
      <c r="O15" s="58">
        <v>1</v>
      </c>
      <c r="P15" s="54"/>
      <c r="Q15" s="54"/>
      <c r="R15" s="54"/>
    </row>
    <row r="16" spans="1:18">
      <c r="N16" s="21">
        <v>14</v>
      </c>
      <c r="O16" s="21">
        <v>6</v>
      </c>
      <c r="P16" s="54"/>
      <c r="Q16" s="54"/>
      <c r="R16" s="54"/>
    </row>
    <row r="17" spans="1:8" s="35" customFormat="1"/>
    <row r="18" spans="1:8" ht="17" thickBot="1">
      <c r="A18" t="s">
        <v>87</v>
      </c>
      <c r="B18" s="37" t="s">
        <v>95</v>
      </c>
      <c r="C18" s="37" t="s">
        <v>96</v>
      </c>
      <c r="D18" s="37" t="s">
        <v>97</v>
      </c>
      <c r="E18" s="37" t="s">
        <v>98</v>
      </c>
      <c r="F18">
        <v>1</v>
      </c>
      <c r="H18" s="61" t="s">
        <v>136</v>
      </c>
    </row>
    <row r="19" spans="1:8" ht="17" thickBot="1">
      <c r="B19" s="71" t="s">
        <v>88</v>
      </c>
      <c r="C19" s="72"/>
      <c r="D19" s="72"/>
      <c r="E19" s="73"/>
      <c r="F19">
        <v>2</v>
      </c>
    </row>
    <row r="20" spans="1:8" ht="17" thickBot="1">
      <c r="A20" s="30" t="s">
        <v>2</v>
      </c>
      <c r="B20" s="27" t="s">
        <v>89</v>
      </c>
      <c r="C20" s="28" t="s">
        <v>90</v>
      </c>
      <c r="D20" s="28" t="s">
        <v>91</v>
      </c>
      <c r="E20" s="29" t="s">
        <v>92</v>
      </c>
      <c r="F20">
        <v>3</v>
      </c>
    </row>
    <row r="21" spans="1:8">
      <c r="A21" s="31" t="s">
        <v>14</v>
      </c>
      <c r="B21" s="23">
        <v>150</v>
      </c>
      <c r="C21" s="22">
        <v>130</v>
      </c>
      <c r="D21" s="22">
        <v>160</v>
      </c>
      <c r="E21" s="22">
        <v>155</v>
      </c>
      <c r="F21">
        <v>4</v>
      </c>
    </row>
    <row r="22" spans="1:8">
      <c r="A22" s="32" t="s">
        <v>20</v>
      </c>
      <c r="B22" s="24">
        <v>40</v>
      </c>
      <c r="C22" s="21">
        <v>35</v>
      </c>
      <c r="D22" s="21">
        <v>35</v>
      </c>
      <c r="E22" s="36">
        <v>30</v>
      </c>
      <c r="F22">
        <v>5</v>
      </c>
    </row>
    <row r="23" spans="1:8">
      <c r="A23" s="32" t="s">
        <v>24</v>
      </c>
      <c r="B23" s="24">
        <v>15</v>
      </c>
      <c r="C23" s="21">
        <v>25</v>
      </c>
      <c r="D23" s="21">
        <v>25</v>
      </c>
      <c r="E23" s="21">
        <v>20</v>
      </c>
      <c r="F23">
        <v>6</v>
      </c>
    </row>
    <row r="24" spans="1:8">
      <c r="A24" s="32" t="s">
        <v>27</v>
      </c>
      <c r="B24" s="24">
        <v>55</v>
      </c>
      <c r="C24" s="21">
        <v>50</v>
      </c>
      <c r="D24" s="21">
        <v>70</v>
      </c>
      <c r="E24" s="21">
        <v>55</v>
      </c>
      <c r="F24">
        <v>7</v>
      </c>
    </row>
    <row r="25" spans="1:8">
      <c r="A25" s="32" t="s">
        <v>30</v>
      </c>
      <c r="B25" s="24">
        <v>60</v>
      </c>
      <c r="C25" s="21">
        <v>45</v>
      </c>
      <c r="D25" s="21">
        <v>55</v>
      </c>
      <c r="E25" s="21">
        <v>50</v>
      </c>
      <c r="F25">
        <v>8</v>
      </c>
    </row>
    <row r="26" spans="1:8" ht="17" thickBot="1">
      <c r="A26" s="33" t="s">
        <v>34</v>
      </c>
      <c r="B26" s="24">
        <v>30</v>
      </c>
      <c r="C26" s="21">
        <v>30</v>
      </c>
      <c r="D26" s="21">
        <v>25</v>
      </c>
      <c r="E26" s="21">
        <v>30</v>
      </c>
      <c r="F26">
        <v>9</v>
      </c>
    </row>
    <row r="28" spans="1:8" ht="17" thickBot="1"/>
    <row r="29" spans="1:8" ht="17" thickBot="1">
      <c r="A29" s="40" t="s">
        <v>2</v>
      </c>
      <c r="B29" s="44" t="s">
        <v>27</v>
      </c>
      <c r="D29" s="46"/>
      <c r="F29" t="s">
        <v>102</v>
      </c>
    </row>
    <row r="30" spans="1:8" ht="17" thickBot="1">
      <c r="A30" s="42" t="s">
        <v>88</v>
      </c>
      <c r="B30" s="45" t="s">
        <v>90</v>
      </c>
    </row>
    <row r="35" spans="1:11">
      <c r="A35" s="65"/>
      <c r="D35" s="65"/>
    </row>
    <row r="41" spans="1:11" s="35" customFormat="1"/>
    <row r="42" spans="1:11" ht="17" thickBot="1">
      <c r="H42" s="61" t="s">
        <v>137</v>
      </c>
    </row>
    <row r="43" spans="1:11">
      <c r="J43" s="50" t="s">
        <v>106</v>
      </c>
      <c r="K43" s="51" t="s">
        <v>111</v>
      </c>
    </row>
    <row r="44" spans="1:11">
      <c r="A44" t="s">
        <v>119</v>
      </c>
      <c r="J44" s="52" t="s">
        <v>108</v>
      </c>
      <c r="K44" s="53" t="s">
        <v>113</v>
      </c>
    </row>
    <row r="45" spans="1:11" ht="17" thickBot="1">
      <c r="J45" s="52"/>
      <c r="K45" s="53"/>
    </row>
    <row r="46" spans="1:11" ht="17" thickBot="1">
      <c r="A46" t="s">
        <v>106</v>
      </c>
      <c r="J46" s="25" t="s">
        <v>112</v>
      </c>
      <c r="K46" s="26"/>
    </row>
    <row r="47" spans="1:11" ht="17" thickBot="1">
      <c r="A47" s="38" t="s">
        <v>2</v>
      </c>
      <c r="B47" s="38" t="s">
        <v>89</v>
      </c>
      <c r="C47" s="38" t="s">
        <v>107</v>
      </c>
      <c r="D47" s="38" t="s">
        <v>91</v>
      </c>
    </row>
    <row r="48" spans="1:11">
      <c r="A48" s="21" t="s">
        <v>14</v>
      </c>
      <c r="B48" s="21">
        <v>20</v>
      </c>
      <c r="C48" s="21">
        <v>18</v>
      </c>
      <c r="D48" s="21">
        <v>22</v>
      </c>
      <c r="F48" s="40" t="s">
        <v>109</v>
      </c>
      <c r="G48" s="44" t="s">
        <v>106</v>
      </c>
      <c r="H48" t="s">
        <v>110</v>
      </c>
    </row>
    <row r="49" spans="1:7">
      <c r="A49" s="21" t="s">
        <v>20</v>
      </c>
      <c r="B49" s="21">
        <v>30</v>
      </c>
      <c r="C49" s="21">
        <v>25</v>
      </c>
      <c r="D49" s="21">
        <v>30</v>
      </c>
      <c r="F49" s="48" t="s">
        <v>2</v>
      </c>
      <c r="G49" s="49" t="s">
        <v>24</v>
      </c>
    </row>
    <row r="50" spans="1:7" ht="17" thickBot="1">
      <c r="A50" s="21" t="s">
        <v>24</v>
      </c>
      <c r="B50" s="21">
        <v>25</v>
      </c>
      <c r="C50" s="21">
        <v>30</v>
      </c>
      <c r="D50" s="21">
        <v>42</v>
      </c>
      <c r="F50" s="42" t="s">
        <v>88</v>
      </c>
      <c r="G50" s="45" t="s">
        <v>91</v>
      </c>
    </row>
    <row r="51" spans="1:7">
      <c r="A51" s="21" t="s">
        <v>27</v>
      </c>
      <c r="B51" s="21">
        <v>40</v>
      </c>
      <c r="C51" s="21">
        <v>35</v>
      </c>
      <c r="D51" s="21">
        <v>40</v>
      </c>
    </row>
    <row r="52" spans="1:7">
      <c r="A52" s="21" t="s">
        <v>30</v>
      </c>
      <c r="B52" s="21">
        <v>35</v>
      </c>
      <c r="C52" s="21">
        <v>35</v>
      </c>
      <c r="D52" s="21">
        <v>40</v>
      </c>
      <c r="G52" s="47"/>
    </row>
    <row r="55" spans="1:7">
      <c r="A55" t="s">
        <v>108</v>
      </c>
    </row>
    <row r="56" spans="1:7">
      <c r="A56" s="38" t="s">
        <v>2</v>
      </c>
      <c r="B56" s="38" t="s">
        <v>89</v>
      </c>
      <c r="C56" s="38" t="s">
        <v>107</v>
      </c>
      <c r="D56" s="38" t="s">
        <v>91</v>
      </c>
    </row>
    <row r="57" spans="1:7">
      <c r="A57" s="21" t="s">
        <v>14</v>
      </c>
      <c r="B57" s="21">
        <v>16</v>
      </c>
      <c r="C57" s="21">
        <v>18</v>
      </c>
      <c r="D57" s="21">
        <v>26</v>
      </c>
    </row>
    <row r="58" spans="1:7">
      <c r="A58" s="21" t="s">
        <v>20</v>
      </c>
      <c r="B58" s="21">
        <v>36</v>
      </c>
      <c r="C58" s="21">
        <v>22</v>
      </c>
      <c r="D58" s="21">
        <v>30</v>
      </c>
    </row>
    <row r="59" spans="1:7">
      <c r="A59" s="21" t="s">
        <v>24</v>
      </c>
      <c r="B59" s="21">
        <v>18</v>
      </c>
      <c r="C59" s="21">
        <v>20</v>
      </c>
      <c r="D59" s="21">
        <v>25</v>
      </c>
    </row>
    <row r="60" spans="1:7">
      <c r="A60" s="21" t="s">
        <v>27</v>
      </c>
      <c r="B60" s="21">
        <v>22</v>
      </c>
      <c r="C60" s="21">
        <v>40</v>
      </c>
      <c r="D60" s="21">
        <v>35</v>
      </c>
    </row>
    <row r="61" spans="1:7">
      <c r="A61" s="21" t="s">
        <v>30</v>
      </c>
      <c r="B61" s="21">
        <v>35</v>
      </c>
      <c r="C61" s="21">
        <v>25</v>
      </c>
      <c r="D61" s="21">
        <v>22</v>
      </c>
    </row>
  </sheetData>
  <mergeCells count="2">
    <mergeCell ref="B2:E2"/>
    <mergeCell ref="B19:E19"/>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8</vt:i4>
      </vt:variant>
    </vt:vector>
  </HeadingPairs>
  <TitlesOfParts>
    <vt:vector size="8" baseType="lpstr">
      <vt:lpstr>Dashboard</vt:lpstr>
      <vt:lpstr>Daten</vt:lpstr>
      <vt:lpstr>F</vt:lpstr>
      <vt:lpstr>P</vt:lpstr>
      <vt:lpstr>M</vt:lpstr>
      <vt:lpstr>K</vt:lpstr>
      <vt:lpstr>INDEX_VERGLEICH_INDIREKT</vt:lpstr>
      <vt:lpstr>MEP_Funktionen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 Kessler</dc:creator>
  <cp:lastModifiedBy>Beat Kessler</cp:lastModifiedBy>
  <dcterms:created xsi:type="dcterms:W3CDTF">2021-03-23T09:57:35Z</dcterms:created>
  <dcterms:modified xsi:type="dcterms:W3CDTF">2026-03-17T16:11:04Z</dcterms:modified>
</cp:coreProperties>
</file>